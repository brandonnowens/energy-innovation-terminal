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amp; KPIs" sheetId="1" state="visible" r:id="rId1"/>
    <sheet xmlns:r="http://schemas.openxmlformats.org/officeDocument/2006/relationships" name="Top 100 Leads CRM" sheetId="2" state="visible" r:id="rId2"/>
    <sheet xmlns:r="http://schemas.openxmlformats.org/officeDocument/2006/relationships" name="Email Sequences" sheetId="3" state="visible" r:id="rId3"/>
    <sheet xmlns:r="http://schemas.openxmlformats.org/officeDocument/2006/relationships" name="Attachments Guide" sheetId="4" state="visible" r:id="rId4"/>
    <sheet xmlns:r="http://schemas.openxmlformats.org/officeDocument/2006/relationships" name="Objection Handling" sheetId="5" state="visible" r:id="rId5"/>
    <sheet xmlns:r="http://schemas.openxmlformats.org/officeDocument/2006/relationships" name="Capabilities &amp; Pricing" sheetId="6" state="visible" r:id="rId6"/>
  </sheets>
  <definedNames>
    <definedName name="_xlnm._FilterDatabase" localSheetId="1" hidden="1">'Top 100 Leads CRM'!$A$4:$Z$104</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16">
    <font>
      <name val="Calibri"/>
      <family val="2"/>
      <color theme="1"/>
      <sz val="11"/>
      <scheme val="minor"/>
    </font>
    <font>
      <name val="Segoe UI"/>
      <b val="1"/>
      <color rgb="000F172A"/>
      <sz val="16"/>
    </font>
    <font>
      <name val="Segoe UI"/>
      <i val="1"/>
      <color rgb="000284C7"/>
      <sz val="10"/>
    </font>
    <font>
      <name val="Segoe UI"/>
      <b val="1"/>
      <color rgb="00059669"/>
      <sz val="9"/>
    </font>
    <font>
      <name val="Segoe UI"/>
      <b val="1"/>
      <color rgb="00475569"/>
      <sz val="9"/>
    </font>
    <font>
      <name val="Segoe UI"/>
      <b val="1"/>
      <color rgb="000284C7"/>
      <sz val="20"/>
    </font>
    <font>
      <name val="Segoe UI"/>
      <i val="1"/>
      <color rgb="0064748B"/>
      <sz val="8"/>
    </font>
    <font>
      <name val="Segoe UI"/>
      <b val="1"/>
      <color rgb="000F172A"/>
      <sz val="12"/>
    </font>
    <font>
      <name val="Segoe UI"/>
      <b val="1"/>
      <color rgb="00FFFFFF"/>
      <sz val="10"/>
    </font>
    <font>
      <name val="Segoe UI"/>
      <b val="1"/>
      <color rgb="000F172A"/>
      <sz val="9.5"/>
    </font>
    <font>
      <name val="Segoe UI"/>
      <color rgb="000F172A"/>
      <sz val="9.5"/>
    </font>
    <font>
      <name val="Segoe UI"/>
      <b val="1"/>
      <color rgb="000F172A"/>
      <sz val="10"/>
    </font>
    <font>
      <name val="Segoe UI"/>
      <i val="1"/>
      <color rgb="000284C7"/>
      <sz val="9.5"/>
    </font>
    <font>
      <name val="Segoe UI"/>
      <color rgb="000284C7"/>
      <sz val="9"/>
    </font>
    <font>
      <name val="Segoe UI"/>
      <i val="1"/>
      <color rgb="000284C7"/>
      <sz val="9"/>
    </font>
    <font>
      <name val="Segoe UI"/>
      <b val="1"/>
      <color rgb="00059669"/>
      <sz val="9.5"/>
    </font>
  </fonts>
  <fills count="7">
    <fill>
      <patternFill/>
    </fill>
    <fill>
      <patternFill patternType="gray125"/>
    </fill>
    <fill>
      <patternFill patternType="solid">
        <fgColor rgb="00F1F5F9"/>
        <bgColor rgb="00F1F5F9"/>
      </patternFill>
    </fill>
    <fill>
      <patternFill patternType="solid">
        <fgColor rgb="000F172A"/>
        <bgColor rgb="000F172A"/>
      </patternFill>
    </fill>
    <fill>
      <patternFill patternType="solid">
        <fgColor rgb="00F8FAFC"/>
        <bgColor rgb="00F8FAFC"/>
      </patternFill>
    </fill>
    <fill>
      <patternFill patternType="solid">
        <fgColor rgb="00ECFDF5"/>
        <bgColor rgb="00ECFDF5"/>
      </patternFill>
    </fill>
    <fill>
      <patternFill patternType="solid">
        <fgColor rgb="001E293B"/>
        <bgColor rgb="001E293B"/>
      </patternFill>
    </fill>
  </fills>
  <borders count="4">
    <border>
      <left/>
      <right/>
      <top/>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CBD5E1"/>
      </top>
      <bottom style="medium">
        <color rgb="000F172A"/>
      </bottom>
    </border>
    <border>
      <top style="thin">
        <color rgb="00CBD5E1"/>
      </top>
      <bottom style="double">
        <color rgb="000F172A"/>
      </bottom>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xf>
    <xf numFmtId="0" fontId="0" fillId="0" borderId="1" pivotButton="0" quotePrefix="0" xfId="0"/>
    <xf numFmtId="0" fontId="5" fillId="2" borderId="1" applyAlignment="1" pivotButton="0" quotePrefix="0" xfId="0">
      <alignment horizontal="center" vertical="center"/>
    </xf>
    <xf numFmtId="164" fontId="5" fillId="2" borderId="1" applyAlignment="1" pivotButton="0" quotePrefix="0" xfId="0">
      <alignment horizontal="center" vertical="center"/>
    </xf>
    <xf numFmtId="0" fontId="6" fillId="2" borderId="1" applyAlignment="1" pivotButton="0" quotePrefix="0" xfId="0">
      <alignment horizontal="center" vertical="center"/>
    </xf>
    <xf numFmtId="0" fontId="7" fillId="0" borderId="0" pivotButton="0" quotePrefix="0" xfId="0"/>
    <xf numFmtId="0" fontId="8" fillId="3" borderId="2" applyAlignment="1" pivotButton="0" quotePrefix="0" xfId="0">
      <alignment horizontal="center" vertical="center"/>
    </xf>
    <xf numFmtId="0" fontId="9" fillId="0" borderId="1" pivotButton="0" quotePrefix="0" xfId="0"/>
    <xf numFmtId="0" fontId="10" fillId="0" borderId="1" pivotButton="0" quotePrefix="0" xfId="0"/>
    <xf numFmtId="0" fontId="10" fillId="0" borderId="1" applyAlignment="1" pivotButton="0" quotePrefix="0" xfId="0">
      <alignment horizontal="center" vertical="center"/>
    </xf>
    <xf numFmtId="165" fontId="10" fillId="0" borderId="1" applyAlignment="1" pivotButton="0" quotePrefix="0" xfId="0">
      <alignment horizontal="right" vertical="center"/>
    </xf>
    <xf numFmtId="164" fontId="10" fillId="0" borderId="1" applyAlignment="1" pivotButton="0" quotePrefix="0" xfId="0">
      <alignment horizontal="right" vertical="center"/>
    </xf>
    <xf numFmtId="0" fontId="11" fillId="0" borderId="3" pivotButton="0" quotePrefix="0" xfId="0"/>
    <xf numFmtId="0" fontId="9" fillId="0" borderId="3" applyAlignment="1" pivotButton="0" quotePrefix="0" xfId="0">
      <alignment horizontal="center" vertical="center"/>
    </xf>
    <xf numFmtId="165" fontId="9" fillId="0" borderId="3" applyAlignment="1" pivotButton="0" quotePrefix="0" xfId="0">
      <alignment horizontal="right" vertical="center"/>
    </xf>
    <xf numFmtId="164" fontId="9" fillId="0" borderId="3" applyAlignment="1" pivotButton="0" quotePrefix="0" xfId="0">
      <alignment horizontal="right" vertical="center"/>
    </xf>
    <xf numFmtId="0" fontId="0" fillId="0" borderId="3" pivotButton="0" quotePrefix="0" xfId="0"/>
    <xf numFmtId="0" fontId="9" fillId="0" borderId="1" applyAlignment="1" pivotButton="0" quotePrefix="0" xfId="0">
      <alignment horizontal="center" vertical="center"/>
    </xf>
    <xf numFmtId="0" fontId="10" fillId="0" borderId="1" applyAlignment="1" pivotButton="0" quotePrefix="0" xfId="0">
      <alignment horizontal="left" vertical="top" wrapText="1"/>
    </xf>
    <xf numFmtId="0" fontId="9" fillId="4" borderId="1" applyAlignment="1" pivotButton="0" quotePrefix="0" xfId="0">
      <alignment horizontal="center" vertical="center"/>
    </xf>
    <xf numFmtId="0" fontId="9" fillId="4" borderId="1" pivotButton="0" quotePrefix="0" xfId="0"/>
    <xf numFmtId="0" fontId="10" fillId="4" borderId="1" pivotButton="0" quotePrefix="0" xfId="0"/>
    <xf numFmtId="164" fontId="10" fillId="4" borderId="1" applyAlignment="1" pivotButton="0" quotePrefix="0" xfId="0">
      <alignment horizontal="right" vertical="center"/>
    </xf>
    <xf numFmtId="0" fontId="10" fillId="4" borderId="1" applyAlignment="1" pivotButton="0" quotePrefix="0" xfId="0">
      <alignment horizontal="center" vertical="center"/>
    </xf>
    <xf numFmtId="0" fontId="10" fillId="4" borderId="1" applyAlignment="1" pivotButton="0" quotePrefix="0" xfId="0">
      <alignment horizontal="left" vertical="top" wrapText="1"/>
    </xf>
    <xf numFmtId="0" fontId="7" fillId="5" borderId="1" pivotButton="0" quotePrefix="0" xfId="0"/>
    <xf numFmtId="0" fontId="12" fillId="0" borderId="1" pivotButton="0" quotePrefix="0" xfId="0"/>
    <xf numFmtId="0" fontId="13" fillId="0" borderId="1" pivotButton="0" quotePrefix="0" xfId="0"/>
    <xf numFmtId="0" fontId="14" fillId="0" borderId="1" applyAlignment="1" pivotButton="0" quotePrefix="0" xfId="0">
      <alignment horizontal="left" vertical="top" wrapText="1"/>
    </xf>
    <xf numFmtId="0" fontId="8" fillId="6" borderId="2" applyAlignment="1" pivotButton="0" quotePrefix="0" xfId="0">
      <alignment horizontal="center" vertical="center"/>
    </xf>
    <xf numFmtId="0" fontId="15"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1"/>
  <sheetViews>
    <sheetView showGridLines="1" workbookViewId="0">
      <selection activeCell="A1" sqref="A1"/>
    </sheetView>
  </sheetViews>
  <sheetFormatPr baseColWidth="8" defaultRowHeight="15"/>
  <cols>
    <col width="4" customWidth="1" min="1" max="1"/>
    <col width="28" customWidth="1" min="2" max="2"/>
    <col width="15" customWidth="1" min="3" max="3"/>
    <col width="15" customWidth="1" min="4" max="4"/>
    <col width="20" customWidth="1" min="5" max="5"/>
    <col width="42" customWidth="1" min="6" max="6"/>
    <col width="4" customWidth="1" min="7" max="7"/>
    <col width="26" customWidth="1" min="8" max="8"/>
    <col width="32" customWidth="1" min="9" max="9"/>
    <col width="20" customWidth="1" min="10" max="10"/>
    <col width="20" customWidth="1" min="11" max="11"/>
    <col width="20" customWidth="1" min="12" max="12"/>
  </cols>
  <sheetData>
    <row r="1">
      <c r="A1" s="1" t="inlineStr">
        <is>
          <t>Energy Innovation Terminal by AIxEnergy</t>
        </is>
      </c>
    </row>
    <row r="2">
      <c r="A2" s="2" t="inlineStr">
        <is>
          <t>Top 100 Grant Writing &amp; Clean Tech Consultancies // Sales Campaign Cockpit &amp; CRM Tracker</t>
        </is>
      </c>
    </row>
    <row r="3">
      <c r="A3" s="3" t="inlineStr">
        <is>
          <t>Live Terminal: https://terminal.aixenergy.io  |  Target Audience: Managing Partners, Practice VPs, Grant Strategists</t>
        </is>
      </c>
    </row>
    <row r="5">
      <c r="B5" s="4" t="inlineStr">
        <is>
          <t>Total Target Leads</t>
        </is>
      </c>
      <c r="C5" s="5" t="n"/>
      <c r="E5" s="4" t="inlineStr">
        <is>
          <t>Target Monthly ARR</t>
        </is>
      </c>
      <c r="F5" s="5" t="n"/>
      <c r="H5" s="4" t="inlineStr">
        <is>
          <t>Avg Deal Potential</t>
        </is>
      </c>
      <c r="I5" s="5" t="n"/>
      <c r="K5" s="4" t="inlineStr">
        <is>
          <t>Closed Revenue (Won)</t>
        </is>
      </c>
      <c r="L5" s="5" t="n"/>
    </row>
    <row r="6">
      <c r="B6" s="6">
        <f>COUNTA('Top 100 Leads CRM'!A5:A104)</f>
        <v/>
      </c>
      <c r="C6" s="5" t="n"/>
      <c r="E6" s="7">
        <f>SUM('Top 100 Leads CRM'!S5:S104)</f>
        <v/>
      </c>
      <c r="F6" s="5" t="n"/>
      <c r="H6" s="7">
        <f>AVERAGE('Top 100 Leads CRM'!S5:S104)</f>
        <v/>
      </c>
      <c r="I6" s="5" t="n"/>
      <c r="K6" s="7">
        <f>SUMIF('Top 100 Leads CRM'!T5:T104, "Closed Won", 'Top 100 Leads CRM'!S5:S104)</f>
        <v/>
      </c>
      <c r="L6" s="5" t="n"/>
    </row>
    <row r="7">
      <c r="B7" s="8" t="inlineStr">
        <is>
          <t>100 Verified Consultancies</t>
        </is>
      </c>
      <c r="C7" s="5" t="n"/>
      <c r="E7" s="8" t="inlineStr">
        <is>
          <t>Calculated Target Pipeline</t>
        </is>
      </c>
      <c r="F7" s="5" t="n"/>
      <c r="H7" s="8" t="inlineStr">
        <is>
          <t>Per Consultancy / Month</t>
        </is>
      </c>
      <c r="I7" s="5" t="n"/>
      <c r="K7" s="8" t="inlineStr">
        <is>
          <t>Live Cash / ARR</t>
        </is>
      </c>
      <c r="L7" s="5" t="n"/>
    </row>
    <row r="10">
      <c r="B10" s="9" t="inlineStr">
        <is>
          <t>OUTREACH PIPELINE STATUS TRACKER</t>
        </is>
      </c>
      <c r="H10" s="9" t="inlineStr">
        <is>
          <t>QUICK START OUTREACH EXECUTION GUIDE</t>
        </is>
      </c>
    </row>
    <row r="12">
      <c r="B12" s="10" t="inlineStr">
        <is>
          <t>Outreach Stage</t>
        </is>
      </c>
      <c r="C12" s="10" t="inlineStr">
        <is>
          <t>Contact Count</t>
        </is>
      </c>
      <c r="D12" s="10" t="inlineStr">
        <is>
          <t>% of Pipeline</t>
        </is>
      </c>
      <c r="E12" s="10" t="inlineStr">
        <is>
          <t>Target Monthly ARR</t>
        </is>
      </c>
      <c r="F12" s="10" t="inlineStr">
        <is>
          <t>Action Required</t>
        </is>
      </c>
      <c r="H12" s="11" t="inlineStr">
        <is>
          <t>1. Immediate Live Review</t>
        </is>
      </c>
      <c r="I12" s="12" t="inlineStr">
        <is>
          <t>Open terminal.aixenergy.io to verify live search, 50k+ awards, and instant FOA shredding.</t>
        </is>
      </c>
      <c r="J12" s="5" t="n"/>
      <c r="K12" s="5" t="n"/>
      <c r="L12" s="5" t="n"/>
    </row>
    <row r="13">
      <c r="B13" s="11" t="inlineStr">
        <is>
          <t>Not Contacted</t>
        </is>
      </c>
      <c r="C13" s="13">
        <f>COUNTIF('Top 100 Leads CRM'!T5:T104, "Not Contacted")</f>
        <v/>
      </c>
      <c r="D13" s="14">
        <f>C13/100</f>
        <v/>
      </c>
      <c r="E13" s="15">
        <f>SUMIF('Top 100 Leads CRM'!T5:T104, "Not Contacted", 'Top 100 Leads CRM'!S5:S104)</f>
        <v/>
      </c>
      <c r="F13" s="12" t="inlineStr">
        <is>
          <t>Send Touch 1 Cold Email + PDF Attachments</t>
        </is>
      </c>
      <c r="H13" s="11" t="inlineStr">
        <is>
          <t>2. Locate Attachments</t>
        </is>
      </c>
      <c r="I13" s="12" t="inlineStr">
        <is>
          <t>Grab the 3 PDF files located in the 'outreach_attachments/' folder in your workspace.</t>
        </is>
      </c>
      <c r="J13" s="5" t="n"/>
      <c r="K13" s="5" t="n"/>
      <c r="L13" s="5" t="n"/>
    </row>
    <row r="14">
      <c r="B14" s="11" t="inlineStr">
        <is>
          <t>Touch 1 Sent (Hook)</t>
        </is>
      </c>
      <c r="C14" s="13">
        <f>COUNTIF('Top 100 Leads CRM'!T5:T104, "Touch 1 Sent")</f>
        <v/>
      </c>
      <c r="D14" s="14">
        <f>C14/100</f>
        <v/>
      </c>
      <c r="E14" s="15">
        <f>SUMIF('Top 100 Leads CRM'!T5:T104, "Touch 1 Sent", 'Top 100 Leads CRM'!S5:S104)</f>
        <v/>
      </c>
      <c r="F14" s="12" t="inlineStr">
        <is>
          <t>Schedule Day 4 Follow-up (Touch 2)</t>
        </is>
      </c>
      <c r="H14" s="11" t="inlineStr">
        <is>
          <t>3. Execute Touch 1</t>
        </is>
      </c>
      <c r="I14" s="12" t="inlineStr">
        <is>
          <t>Copy the Touch 1 sequence from Tab 'Email Sequences' (or use personalized column V in 'Top 100 Leads CRM').</t>
        </is>
      </c>
      <c r="J14" s="5" t="n"/>
      <c r="K14" s="5" t="n"/>
      <c r="L14" s="5" t="n"/>
    </row>
    <row r="15">
      <c r="B15" s="11" t="inlineStr">
        <is>
          <t>Touch 2 Sent (Continuum)</t>
        </is>
      </c>
      <c r="C15" s="13">
        <f>COUNTIF('Top 100 Leads CRM'!T5:T104, "Touch 2 Sent")</f>
        <v/>
      </c>
      <c r="D15" s="14">
        <f>C15/100</f>
        <v/>
      </c>
      <c r="E15" s="15">
        <f>SUMIF('Top 100 Leads CRM'!T5:T104, "Touch 2 Sent", 'Top 100 Leads CRM'!S5:S104)</f>
        <v/>
      </c>
      <c r="F15" s="12" t="inlineStr">
        <is>
          <t>Schedule Day 8 Breakup (Touch 3)</t>
        </is>
      </c>
      <c r="H15" s="11" t="inlineStr">
        <is>
          <t>4. Attach Key Files</t>
        </is>
      </c>
      <c r="I15" s="12" t="inlineStr">
        <is>
          <t>Attach Sample_FOA_Proposal_Blueprint.pdf and Capabilities Brief PDF to Touch 1.</t>
        </is>
      </c>
      <c r="J15" s="5" t="n"/>
      <c r="K15" s="5" t="n"/>
      <c r="L15" s="5" t="n"/>
    </row>
    <row r="16">
      <c r="B16" s="11" t="inlineStr">
        <is>
          <t>Touch 3 Sent (Breakup)</t>
        </is>
      </c>
      <c r="C16" s="13">
        <f>COUNTIF('Top 100 Leads CRM'!T5:T104, "Touch 3 Sent")</f>
        <v/>
      </c>
      <c r="D16" s="14">
        <f>C16/100</f>
        <v/>
      </c>
      <c r="E16" s="15">
        <f>SUMIF('Top 100 Leads CRM'!T5:T104, "Touch 3 Sent", 'Top 100 Leads CRM'!S5:S104)</f>
        <v/>
      </c>
      <c r="F16" s="12" t="inlineStr">
        <is>
          <t>Move to Nurture / Retarget in 30 Days</t>
        </is>
      </c>
      <c r="H16" s="11" t="inlineStr">
        <is>
          <t>5. Update Status</t>
        </is>
      </c>
      <c r="I16" s="12" t="inlineStr">
        <is>
          <t>Mark status as 'Touch 1 Sent' in Tab 'Top 100 Leads CRM' and set follow-up date for Day 4.</t>
        </is>
      </c>
      <c r="J16" s="5" t="n"/>
      <c r="K16" s="5" t="n"/>
      <c r="L16" s="5" t="n"/>
    </row>
    <row r="17">
      <c r="B17" s="11" t="inlineStr">
        <is>
          <t>Meeting / Demo Booked</t>
        </is>
      </c>
      <c r="C17" s="13">
        <f>COUNTIF('Top 100 Leads CRM'!T5:T104, "Meeting Booked")</f>
        <v/>
      </c>
      <c r="D17" s="14">
        <f>C17/100</f>
        <v/>
      </c>
      <c r="E17" s="15">
        <f>SUMIF('Top 100 Leads CRM'!T5:T104, "Meeting Booked", 'Top 100 Leads CRM'!S5:S104)</f>
        <v/>
      </c>
      <c r="F17" s="12" t="inlineStr">
        <is>
          <t>Conduct 10-Min Live Terminal Demo</t>
        </is>
      </c>
    </row>
    <row r="18">
      <c r="B18" s="11" t="inlineStr">
        <is>
          <t>Active 7-Day Trial</t>
        </is>
      </c>
      <c r="C18" s="13">
        <f>COUNTIF('Top 100 Leads CRM'!T5:T104, "Trial Active")</f>
        <v/>
      </c>
      <c r="D18" s="14">
        <f>C18/100</f>
        <v/>
      </c>
      <c r="E18" s="15">
        <f>SUMIF('Top 100 Leads CRM'!T5:T104, "Trial Active", 'Top 100 Leads CRM'!S5:S104)</f>
        <v/>
      </c>
      <c r="F18" s="12" t="inlineStr">
        <is>
          <t>Send Custom Shred for Client FOA</t>
        </is>
      </c>
    </row>
    <row r="19">
      <c r="B19" s="11" t="inlineStr">
        <is>
          <t>Closed Won (Paid)</t>
        </is>
      </c>
      <c r="C19" s="13">
        <f>COUNTIF('Top 100 Leads CRM'!T5:T104, "Closed Won")</f>
        <v/>
      </c>
      <c r="D19" s="14">
        <f>C19/100</f>
        <v/>
      </c>
      <c r="E19" s="15">
        <f>SUMIF('Top 100 Leads CRM'!T5:T104, "Closed Won", 'Top 100 Leads CRM'!S5:S104)</f>
        <v/>
      </c>
      <c r="F19" s="12" t="inlineStr">
        <is>
          <t>Onboard Proposal Team &amp; Issue License</t>
        </is>
      </c>
    </row>
    <row r="20">
      <c r="B20" s="11" t="inlineStr">
        <is>
          <t>Disqualified / Unresponsive</t>
        </is>
      </c>
      <c r="C20" s="13">
        <f>COUNTIF('Top 100 Leads CRM'!T5:T104, "Disqualified")</f>
        <v/>
      </c>
      <c r="D20" s="14">
        <f>C20/100</f>
        <v/>
      </c>
      <c r="E20" s="15">
        <f>SUMIF('Top 100 Leads CRM'!T5:T104, "Disqualified", 'Top 100 Leads CRM'!S5:S104)</f>
        <v/>
      </c>
      <c r="F20" s="12" t="inlineStr">
        <is>
          <t>Archive Record</t>
        </is>
      </c>
    </row>
    <row r="21">
      <c r="B21" s="16" t="inlineStr">
        <is>
          <t>TOTAL PIPELINE</t>
        </is>
      </c>
      <c r="C21" s="17">
        <f>SUM(C13:C20)</f>
        <v/>
      </c>
      <c r="D21" s="18">
        <f>SUM(D13:D20)</f>
        <v/>
      </c>
      <c r="E21" s="19">
        <f>SUM(E13:E20)</f>
        <v/>
      </c>
      <c r="F21" s="20" t="n"/>
    </row>
  </sheetData>
  <mergeCells count="12">
    <mergeCell ref="B6:C6"/>
    <mergeCell ref="K7:L7"/>
    <mergeCell ref="E6:F6"/>
    <mergeCell ref="H6:I6"/>
    <mergeCell ref="B7:C7"/>
    <mergeCell ref="E7:F7"/>
    <mergeCell ref="B5:C5"/>
    <mergeCell ref="H7:I7"/>
    <mergeCell ref="E5:F5"/>
    <mergeCell ref="K5:L5"/>
    <mergeCell ref="H5:I5"/>
    <mergeCell ref="K6:L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104"/>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4" customWidth="1" min="3" max="3"/>
    <col width="28" customWidth="1" min="4" max="4"/>
    <col width="28" customWidth="1" min="5" max="5"/>
    <col width="28" customWidth="1" min="6" max="6"/>
    <col width="24" customWidth="1" min="7" max="7"/>
    <col width="34" customWidth="1" min="8" max="8"/>
    <col width="14" customWidth="1" min="9" max="9"/>
    <col width="28" customWidth="1" min="10" max="10"/>
    <col width="18" customWidth="1" min="11" max="11"/>
    <col width="20" customWidth="1" min="12" max="12"/>
    <col width="32" customWidth="1" min="13" max="13"/>
    <col width="34" customWidth="1" min="14" max="14"/>
    <col width="28" customWidth="1" min="15" max="15"/>
    <col width="38" customWidth="1" min="16" max="16"/>
    <col width="38" customWidth="1" min="17" max="17"/>
    <col width="28" customWidth="1" min="18" max="18"/>
    <col width="18" customWidth="1" min="19" max="19"/>
    <col width="18" customWidth="1" min="20" max="20"/>
    <col width="14" customWidth="1" min="21" max="21"/>
    <col width="14" customWidth="1" min="22" max="22"/>
    <col width="14" customWidth="1" min="23" max="23"/>
    <col width="14" customWidth="1" min="24" max="24"/>
    <col width="45" customWidth="1" min="25" max="25"/>
    <col width="30" customWidth="1" min="26" max="26"/>
  </cols>
  <sheetData>
    <row r="1">
      <c r="A1" s="1" t="inlineStr">
        <is>
          <t>Top 100 Grant Writing &amp; Clean Tech Consultancies Directory</t>
        </is>
      </c>
    </row>
    <row r="2">
      <c r="A2" s="2" t="inlineStr">
        <is>
          <t>Energy Innovation Terminal by AIxEnergy (terminal.aixenergy.io) // CRM Outreach Lead Roster</t>
        </is>
      </c>
    </row>
    <row r="4">
      <c r="A4" s="10" t="inlineStr">
        <is>
          <t>ID</t>
        </is>
      </c>
      <c r="B4" s="10" t="inlineStr">
        <is>
          <t>Contact Name</t>
        </is>
      </c>
      <c r="C4" s="10" t="inlineStr">
        <is>
          <t>First Name</t>
        </is>
      </c>
      <c r="D4" s="10" t="inlineStr">
        <is>
          <t>Title / Role</t>
        </is>
      </c>
      <c r="E4" s="10" t="inlineStr">
        <is>
          <t>Seniority Level</t>
        </is>
      </c>
      <c r="F4" s="10" t="inlineStr">
        <is>
          <t>Firm / Company</t>
        </is>
      </c>
      <c r="G4" s="10" t="inlineStr">
        <is>
          <t>Website</t>
        </is>
      </c>
      <c r="H4" s="10" t="inlineStr">
        <is>
          <t>Category / Specialty</t>
        </is>
      </c>
      <c r="I4" s="10" t="inlineStr">
        <is>
          <t>Headcount</t>
        </is>
      </c>
      <c r="J4" s="10" t="inlineStr">
        <is>
          <t>Direct Email</t>
        </is>
      </c>
      <c r="K4" s="10" t="inlineStr">
        <is>
          <t>Phone Number</t>
        </is>
      </c>
      <c r="L4" s="10" t="inlineStr">
        <is>
          <t>HQ Location</t>
        </is>
      </c>
      <c r="M4" s="10" t="inlineStr">
        <is>
          <t>Primary Agencies Supported</t>
        </is>
      </c>
      <c r="N4" s="10" t="inlineStr">
        <is>
          <t>Target Client Types</t>
        </is>
      </c>
      <c r="O4" s="10" t="inlineStr">
        <is>
          <t>Estimated Grant Volume</t>
        </is>
      </c>
      <c r="P4" s="10" t="inlineStr">
        <is>
          <t>Urgent Pain Point</t>
        </is>
      </c>
      <c r="Q4" s="10" t="inlineStr">
        <is>
          <t>Value Hook / Pitch Angle</t>
        </is>
      </c>
      <c r="R4" s="10" t="inlineStr">
        <is>
          <t>Estimated Seats</t>
        </is>
      </c>
      <c r="S4" s="10" t="inlineStr">
        <is>
          <t>Est. Monthly ARR ($)</t>
        </is>
      </c>
      <c r="T4" s="10" t="inlineStr">
        <is>
          <t>Outreach Status</t>
        </is>
      </c>
      <c r="U4" s="10" t="inlineStr">
        <is>
          <t>Touch 1 Date</t>
        </is>
      </c>
      <c r="V4" s="10" t="inlineStr">
        <is>
          <t>Touch 2 Date</t>
        </is>
      </c>
      <c r="W4" s="10" t="inlineStr">
        <is>
          <t>Touch 3 Date</t>
        </is>
      </c>
      <c r="X4" s="10" t="inlineStr">
        <is>
          <t>Demo Booked Date</t>
        </is>
      </c>
      <c r="Y4" s="10" t="inlineStr">
        <is>
          <t>Personalized Touch 1 Email Copy</t>
        </is>
      </c>
      <c r="Z4" s="10" t="inlineStr">
        <is>
          <t>Notes / Next Steps</t>
        </is>
      </c>
    </row>
    <row r="5">
      <c r="A5" s="21" t="n">
        <v>1</v>
      </c>
      <c r="B5" s="11" t="inlineStr">
        <is>
          <t>Brandon Hurlbut</t>
        </is>
      </c>
      <c r="C5" s="12" t="inlineStr">
        <is>
          <t>Brandon</t>
        </is>
      </c>
      <c r="D5" s="12" t="inlineStr">
        <is>
          <t>Co-Founder &amp; Partner</t>
        </is>
      </c>
      <c r="E5" s="12" t="inlineStr">
        <is>
          <t>Tier 1: Senior Executive / Partner (Decision Maker)</t>
        </is>
      </c>
      <c r="F5" s="11" t="inlineStr">
        <is>
          <t>Boundary Stone Partners</t>
        </is>
      </c>
      <c r="G5" s="12" t="inlineStr">
        <is>
          <t>https://boundarystone.com</t>
        </is>
      </c>
      <c r="H5" s="12" t="inlineStr">
        <is>
          <t>Boutique Clean Tech Grant &amp; Federal Strategy</t>
        </is>
      </c>
      <c r="I5" s="12" t="inlineStr">
        <is>
          <t>50-100</t>
        </is>
      </c>
      <c r="J5" s="12" t="inlineStr">
        <is>
          <t>bhurlbut@boundarystone.com</t>
        </is>
      </c>
      <c r="K5" s="12" t="inlineStr">
        <is>
          <t>(202) 800-4740</t>
        </is>
      </c>
      <c r="L5" s="12" t="inlineStr">
        <is>
          <t>Washington, DC</t>
        </is>
      </c>
      <c r="M5" s="12" t="inlineStr">
        <is>
          <t>DOE (OCED, LPO, ARPA-E, EERE, FECM), IRA Section 48C / 45X, EPA CPRG</t>
        </is>
      </c>
      <c r="N5" s="12" t="inlineStr">
        <is>
          <t>Series A-D Hardtech, Long-Duration Storage, Clean Hydrogen, Nuclear SMRs</t>
        </is>
      </c>
      <c r="O5" s="12" t="inlineStr">
        <is>
          <t>$2B+ in federal applications supported</t>
        </is>
      </c>
      <c r="P5" s="12" t="inlineStr">
        <is>
          <t>High client volume requiring rapid FOA decomposition, Community Benefits Plan (CBP) matrix building, and cost-share modeling</t>
        </is>
      </c>
      <c r="Q5" s="12" t="inlineStr">
        <is>
          <t>10-second FOA shredder, 5-stage co-investor networks, and predictive grant release forecasting</t>
        </is>
      </c>
      <c r="R5" s="12" t="inlineStr">
        <is>
          <t>5-10 seats ($7,500 - $15,000/mo flat rate @ $1,500/seat)</t>
        </is>
      </c>
      <c r="S5" s="15" t="n">
        <v>20000</v>
      </c>
      <c r="T5" s="21" t="inlineStr">
        <is>
          <t>Not Contacted</t>
        </is>
      </c>
      <c r="U5" s="13" t="inlineStr"/>
      <c r="V5" s="13" t="inlineStr"/>
      <c r="W5" s="13" t="inlineStr"/>
      <c r="X5" s="13" t="inlineStr"/>
      <c r="Y5" s="22" t="inlineStr">
        <is>
          <t>Hi Brandon,
I've been following Boundary Stone Partners's impressive work advising clean tech and hardtech clients across DOE (OCED.
We recently launched the Energy Innovation Terminal (terminal.aixenergy.io) by AIxEnergy, an intelligence platform designed specifically for clean energy grant writing and technical consultancies.
Three capabilities that Boundary Stone Partners's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5" s="12" t="inlineStr"/>
    </row>
    <row r="6">
      <c r="A6" s="23" t="n">
        <v>2</v>
      </c>
      <c r="B6" s="24" t="inlineStr">
        <is>
          <t>Jeff Navin</t>
        </is>
      </c>
      <c r="C6" s="25" t="inlineStr">
        <is>
          <t>Jeff</t>
        </is>
      </c>
      <c r="D6" s="25" t="inlineStr">
        <is>
          <t>Co-Founder &amp; Partner</t>
        </is>
      </c>
      <c r="E6" s="25" t="inlineStr">
        <is>
          <t>Tier 1: Senior Executive / Partner (Decision Maker)</t>
        </is>
      </c>
      <c r="F6" s="24" t="inlineStr">
        <is>
          <t>Boundary Stone Partners</t>
        </is>
      </c>
      <c r="G6" s="25" t="inlineStr">
        <is>
          <t>https://boundarystone.com</t>
        </is>
      </c>
      <c r="H6" s="25" t="inlineStr">
        <is>
          <t>Boutique Clean Tech Grant &amp; Federal Strategy</t>
        </is>
      </c>
      <c r="I6" s="25" t="inlineStr">
        <is>
          <t>50-100</t>
        </is>
      </c>
      <c r="J6" s="25" t="inlineStr">
        <is>
          <t>jnavin@boundarystone.com</t>
        </is>
      </c>
      <c r="K6" s="25" t="inlineStr">
        <is>
          <t>(202) 800-4740</t>
        </is>
      </c>
      <c r="L6" s="25" t="inlineStr">
        <is>
          <t>Washington, DC</t>
        </is>
      </c>
      <c r="M6" s="25" t="inlineStr">
        <is>
          <t>DOE (OCED, LPO, ARPA-E, EERE, FECM), IRA Section 48C / 45X, EPA CPRG</t>
        </is>
      </c>
      <c r="N6" s="25" t="inlineStr">
        <is>
          <t>Series A-D Hardtech, Long-Duration Storage, Clean Hydrogen, Nuclear SMRs</t>
        </is>
      </c>
      <c r="O6" s="25" t="inlineStr">
        <is>
          <t>$2B+ in federal applications supported</t>
        </is>
      </c>
      <c r="P6" s="25" t="inlineStr">
        <is>
          <t>High client volume requiring rapid FOA decomposition, Community Benefits Plan (CBP) matrix building, and cost-share modeling</t>
        </is>
      </c>
      <c r="Q6" s="25" t="inlineStr">
        <is>
          <t>10-second FOA shredder, 5-stage co-investor networks, and predictive grant release forecasting</t>
        </is>
      </c>
      <c r="R6" s="25" t="inlineStr">
        <is>
          <t>5-10 seats ($7,500 - $15,000/mo flat rate @ $1,500/seat)</t>
        </is>
      </c>
      <c r="S6" s="26" t="n">
        <v>20000</v>
      </c>
      <c r="T6" s="23" t="inlineStr">
        <is>
          <t>Not Contacted</t>
        </is>
      </c>
      <c r="U6" s="27" t="inlineStr"/>
      <c r="V6" s="27" t="inlineStr"/>
      <c r="W6" s="27" t="inlineStr"/>
      <c r="X6" s="27" t="inlineStr"/>
      <c r="Y6" s="28" t="inlineStr">
        <is>
          <t>Hi Jeff,
I've been following Boundary Stone Partners's impressive work advising clean tech and hardtech clients across DOE (OCED.
We recently launched the Energy Innovation Terminal (terminal.aixenergy.io) by AIxEnergy, an intelligence platform designed specifically for clean energy grant writing and technical consultancies.
Three capabilities that Boundary Stone Partners's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6" s="25" t="inlineStr"/>
    </row>
    <row r="7">
      <c r="A7" s="21" t="n">
        <v>3</v>
      </c>
      <c r="B7" s="11" t="inlineStr">
        <is>
          <t>Christine Turner</t>
        </is>
      </c>
      <c r="C7" s="12" t="inlineStr">
        <is>
          <t>Christine</t>
        </is>
      </c>
      <c r="D7" s="12" t="inlineStr">
        <is>
          <t>Partner, Clean Tech Practice</t>
        </is>
      </c>
      <c r="E7" s="12" t="inlineStr">
        <is>
          <t>Tier 1: Senior Executive / Partner (Decision Maker)</t>
        </is>
      </c>
      <c r="F7" s="11" t="inlineStr">
        <is>
          <t>Boundary Stone Partners</t>
        </is>
      </c>
      <c r="G7" s="12" t="inlineStr">
        <is>
          <t>https://boundarystone.com</t>
        </is>
      </c>
      <c r="H7" s="12" t="inlineStr">
        <is>
          <t>Boutique Clean Tech Grant &amp; Federal Strategy</t>
        </is>
      </c>
      <c r="I7" s="12" t="inlineStr">
        <is>
          <t>50-100</t>
        </is>
      </c>
      <c r="J7" s="12" t="inlineStr">
        <is>
          <t>cturner@boundarystone.com</t>
        </is>
      </c>
      <c r="K7" s="12" t="inlineStr">
        <is>
          <t>(202) 800-4740</t>
        </is>
      </c>
      <c r="L7" s="12" t="inlineStr">
        <is>
          <t>Washington, DC</t>
        </is>
      </c>
      <c r="M7" s="12" t="inlineStr">
        <is>
          <t>DOE (OCED, LPO, ARPA-E, EERE, FECM), IRA Section 48C / 45X, EPA CPRG</t>
        </is>
      </c>
      <c r="N7" s="12" t="inlineStr">
        <is>
          <t>Series A-D Hardtech, Long-Duration Storage, Clean Hydrogen, Nuclear SMRs</t>
        </is>
      </c>
      <c r="O7" s="12" t="inlineStr">
        <is>
          <t>$2B+ in federal applications supported</t>
        </is>
      </c>
      <c r="P7" s="12" t="inlineStr">
        <is>
          <t>High client volume requiring rapid FOA decomposition, Community Benefits Plan (CBP) matrix building, and cost-share modeling</t>
        </is>
      </c>
      <c r="Q7" s="12" t="inlineStr">
        <is>
          <t>10-second FOA shredder, 5-stage co-investor networks, and predictive grant release forecasting</t>
        </is>
      </c>
      <c r="R7" s="12" t="inlineStr">
        <is>
          <t>5-10 seats ($7,500 - $15,000/mo flat rate @ $1,500/seat)</t>
        </is>
      </c>
      <c r="S7" s="15" t="n">
        <v>20000</v>
      </c>
      <c r="T7" s="21" t="inlineStr">
        <is>
          <t>Not Contacted</t>
        </is>
      </c>
      <c r="U7" s="13" t="inlineStr"/>
      <c r="V7" s="13" t="inlineStr"/>
      <c r="W7" s="13" t="inlineStr"/>
      <c r="X7" s="13" t="inlineStr"/>
      <c r="Y7" s="22" t="inlineStr">
        <is>
          <t>Hi Christine,
I've been following Boundary Stone Partners's impressive work advising clean tech and hardtech clients across DOE (OCED.
We recently launched the Energy Innovation Terminal (terminal.aixenergy.io) by AIxEnergy, an intelligence platform designed specifically for clean energy grant writing and technical consultancies.
Three capabilities that Boundary Stone Partners's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7" s="12" t="inlineStr"/>
    </row>
    <row r="8">
      <c r="A8" s="23" t="n">
        <v>4</v>
      </c>
      <c r="B8" s="24" t="inlineStr">
        <is>
          <t>Michael McAllister</t>
        </is>
      </c>
      <c r="C8" s="25" t="inlineStr">
        <is>
          <t>Michael</t>
        </is>
      </c>
      <c r="D8" s="25" t="inlineStr">
        <is>
          <t>Managing Partner &amp; Co-Founder</t>
        </is>
      </c>
      <c r="E8" s="25" t="inlineStr">
        <is>
          <t>Tier 1: Senior Executive / Partner (Decision Maker)</t>
        </is>
      </c>
      <c r="F8" s="24" t="inlineStr">
        <is>
          <t>McAllister &amp; Quinn</t>
        </is>
      </c>
      <c r="G8" s="25" t="inlineStr">
        <is>
          <t>https://jm-aq.com</t>
        </is>
      </c>
      <c r="H8" s="25" t="inlineStr">
        <is>
          <t>Federal Grant Consulting &amp; Higher-Ed Consortia</t>
        </is>
      </c>
      <c r="I8" s="25" t="inlineStr">
        <is>
          <t>80-150</t>
        </is>
      </c>
      <c r="J8" s="25" t="inlineStr">
        <is>
          <t>mmcallister@jm-aq.com</t>
        </is>
      </c>
      <c r="K8" s="25" t="inlineStr">
        <is>
          <t>(202) 296-2722</t>
        </is>
      </c>
      <c r="L8" s="25" t="inlineStr">
        <is>
          <t>Washington, DC</t>
        </is>
      </c>
      <c r="M8" s="25" t="inlineStr">
        <is>
          <t>DOE, NSF, DOD (DARPA/DIU), USDA, NIH</t>
        </is>
      </c>
      <c r="N8" s="25" t="inlineStr">
        <is>
          <t>Research Universities, Hardtech Consortia, Energy Startups, Defense Contractors</t>
        </is>
      </c>
      <c r="O8" s="25" t="inlineStr">
        <is>
          <t>$1.5B+ won across federal agencies</t>
        </is>
      </c>
      <c r="P8" s="25" t="inlineStr">
        <is>
          <t>Matching academic researchers with commercial energy partners and building multi-institution teaming matrices under tight deadlines</t>
        </is>
      </c>
      <c r="Q8" s="25" t="inlineStr">
        <is>
          <t>Instant agency historical award ledger search across 50,000+ past recipients and deterministic teaming gap analysis</t>
        </is>
      </c>
      <c r="R8" s="25" t="inlineStr">
        <is>
          <t>5-10 seats ($7,500 - $15,000/mo flat rate @ $1,500/seat)</t>
        </is>
      </c>
      <c r="S8" s="26" t="n">
        <v>20000</v>
      </c>
      <c r="T8" s="23" t="inlineStr">
        <is>
          <t>Not Contacted</t>
        </is>
      </c>
      <c r="U8" s="27" t="inlineStr"/>
      <c r="V8" s="27" t="inlineStr"/>
      <c r="W8" s="27" t="inlineStr"/>
      <c r="X8" s="27" t="inlineStr"/>
      <c r="Y8" s="28" t="inlineStr">
        <is>
          <t>Hi Michael,
I've been following McAllister &amp; Quinn's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McAllister &amp; Quinn's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8" s="25" t="inlineStr"/>
    </row>
    <row r="9">
      <c r="A9" s="21" t="n">
        <v>5</v>
      </c>
      <c r="B9" s="11" t="inlineStr">
        <is>
          <t>Andrew Quinn</t>
        </is>
      </c>
      <c r="C9" s="12" t="inlineStr">
        <is>
          <t>Andrew</t>
        </is>
      </c>
      <c r="D9" s="12" t="inlineStr">
        <is>
          <t>Managing Partner &amp; Co-Founder</t>
        </is>
      </c>
      <c r="E9" s="12" t="inlineStr">
        <is>
          <t>Tier 1: Senior Executive / Partner (Decision Maker)</t>
        </is>
      </c>
      <c r="F9" s="11" t="inlineStr">
        <is>
          <t>McAllister &amp; Quinn</t>
        </is>
      </c>
      <c r="G9" s="12" t="inlineStr">
        <is>
          <t>https://jm-aq.com</t>
        </is>
      </c>
      <c r="H9" s="12" t="inlineStr">
        <is>
          <t>Federal Grant Consulting &amp; Higher-Ed Consortia</t>
        </is>
      </c>
      <c r="I9" s="12" t="inlineStr">
        <is>
          <t>80-150</t>
        </is>
      </c>
      <c r="J9" s="12" t="inlineStr">
        <is>
          <t>aquinn@jm-aq.com</t>
        </is>
      </c>
      <c r="K9" s="12" t="inlineStr">
        <is>
          <t>(202) 296-2722</t>
        </is>
      </c>
      <c r="L9" s="12" t="inlineStr">
        <is>
          <t>Washington, DC</t>
        </is>
      </c>
      <c r="M9" s="12" t="inlineStr">
        <is>
          <t>DOE, NSF, DOD (DARPA/DIU), USDA, NIH</t>
        </is>
      </c>
      <c r="N9" s="12" t="inlineStr">
        <is>
          <t>Research Universities, Hardtech Consortia, Energy Startups, Defense Contractors</t>
        </is>
      </c>
      <c r="O9" s="12" t="inlineStr">
        <is>
          <t>$1.5B+ won across federal agencies</t>
        </is>
      </c>
      <c r="P9" s="12" t="inlineStr">
        <is>
          <t>Matching academic researchers with commercial energy partners and building multi-institution teaming matrices under tight deadlines</t>
        </is>
      </c>
      <c r="Q9" s="12" t="inlineStr">
        <is>
          <t>Instant agency historical award ledger search across 50,000+ past recipients and deterministic teaming gap analysis</t>
        </is>
      </c>
      <c r="R9" s="12" t="inlineStr">
        <is>
          <t>5-10 seats ($7,500 - $15,000/mo flat rate @ $1,500/seat)</t>
        </is>
      </c>
      <c r="S9" s="15" t="n">
        <v>20000</v>
      </c>
      <c r="T9" s="21" t="inlineStr">
        <is>
          <t>Not Contacted</t>
        </is>
      </c>
      <c r="U9" s="13" t="inlineStr"/>
      <c r="V9" s="13" t="inlineStr"/>
      <c r="W9" s="13" t="inlineStr"/>
      <c r="X9" s="13" t="inlineStr"/>
      <c r="Y9" s="22" t="inlineStr">
        <is>
          <t>Hi Andrew,
I've been following McAllister &amp; Quinn's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McAllister &amp; Quinn's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9" s="12" t="inlineStr"/>
    </row>
    <row r="10">
      <c r="A10" s="23" t="n">
        <v>6</v>
      </c>
      <c r="B10" s="24" t="inlineStr">
        <is>
          <t>Jessica Bowron</t>
        </is>
      </c>
      <c r="C10" s="25" t="inlineStr">
        <is>
          <t>Jessica</t>
        </is>
      </c>
      <c r="D10" s="25" t="inlineStr">
        <is>
          <t>Managing Director, Energy &amp; Defense</t>
        </is>
      </c>
      <c r="E10" s="25" t="inlineStr">
        <is>
          <t>Tier 1: Senior Executive / Partner (Decision Maker)</t>
        </is>
      </c>
      <c r="F10" s="24" t="inlineStr">
        <is>
          <t>McAllister &amp; Quinn</t>
        </is>
      </c>
      <c r="G10" s="25" t="inlineStr">
        <is>
          <t>https://jm-aq.com</t>
        </is>
      </c>
      <c r="H10" s="25" t="inlineStr">
        <is>
          <t>Federal Grant Consulting &amp; Higher-Ed Consortia</t>
        </is>
      </c>
      <c r="I10" s="25" t="inlineStr">
        <is>
          <t>80-150</t>
        </is>
      </c>
      <c r="J10" s="25" t="inlineStr">
        <is>
          <t>jbowron@jm-aq.com</t>
        </is>
      </c>
      <c r="K10" s="25" t="inlineStr">
        <is>
          <t>(202) 296-2722</t>
        </is>
      </c>
      <c r="L10" s="25" t="inlineStr">
        <is>
          <t>Washington, DC</t>
        </is>
      </c>
      <c r="M10" s="25" t="inlineStr">
        <is>
          <t>DOE, NSF, DOD (DARPA/DIU), USDA, NIH</t>
        </is>
      </c>
      <c r="N10" s="25" t="inlineStr">
        <is>
          <t>Research Universities, Hardtech Consortia, Energy Startups, Defense Contractors</t>
        </is>
      </c>
      <c r="O10" s="25" t="inlineStr">
        <is>
          <t>$1.5B+ won across federal agencies</t>
        </is>
      </c>
      <c r="P10" s="25" t="inlineStr">
        <is>
          <t>Matching academic researchers with commercial energy partners and building multi-institution teaming matrices under tight deadlines</t>
        </is>
      </c>
      <c r="Q10" s="25" t="inlineStr">
        <is>
          <t>Instant agency historical award ledger search across 50,000+ past recipients and deterministic teaming gap analysis</t>
        </is>
      </c>
      <c r="R10" s="25" t="inlineStr">
        <is>
          <t>5-10 seats ($7,500 - $15,000/mo flat rate @ $1,500/seat)</t>
        </is>
      </c>
      <c r="S10" s="26" t="n">
        <v>20000</v>
      </c>
      <c r="T10" s="23" t="inlineStr">
        <is>
          <t>Not Contacted</t>
        </is>
      </c>
      <c r="U10" s="27" t="inlineStr"/>
      <c r="V10" s="27" t="inlineStr"/>
      <c r="W10" s="27" t="inlineStr"/>
      <c r="X10" s="27" t="inlineStr"/>
      <c r="Y10" s="28" t="inlineStr">
        <is>
          <t>Hi Jessica,
I've been following McAllister &amp; Quinn's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McAllister &amp; Quinn's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10" s="25" t="inlineStr"/>
    </row>
    <row r="11">
      <c r="A11" s="21" t="n">
        <v>7</v>
      </c>
      <c r="B11" s="11" t="inlineStr">
        <is>
          <t>April Burke</t>
        </is>
      </c>
      <c r="C11" s="12" t="inlineStr">
        <is>
          <t>April</t>
        </is>
      </c>
      <c r="D11" s="12" t="inlineStr">
        <is>
          <t>President &amp; Founder</t>
        </is>
      </c>
      <c r="E11" s="12" t="inlineStr">
        <is>
          <t>Tier 1: Senior Executive / Partner (Decision Maker)</t>
        </is>
      </c>
      <c r="F11" s="11" t="inlineStr">
        <is>
          <t>Lewis-Burke Associates LLC</t>
        </is>
      </c>
      <c r="G11" s="12" t="inlineStr">
        <is>
          <t>https://lewis-burke.com</t>
        </is>
      </c>
      <c r="H11" s="12" t="inlineStr">
        <is>
          <t>Government Relations &amp; National Lab Strategy</t>
        </is>
      </c>
      <c r="I11" s="12" t="inlineStr">
        <is>
          <t>40-70</t>
        </is>
      </c>
      <c r="J11" s="12" t="inlineStr">
        <is>
          <t>april@lewis-burke.com</t>
        </is>
      </c>
      <c r="K11" s="12" t="inlineStr">
        <is>
          <t>(202) 289-7475</t>
        </is>
      </c>
      <c r="L11" s="12" t="inlineStr">
        <is>
          <t>Washington, DC</t>
        </is>
      </c>
      <c r="M11" s="12" t="inlineStr">
        <is>
          <t>DOE Office of Science, ARPA-E, National Labs, NSF TIP</t>
        </is>
      </c>
      <c r="N11" s="12" t="inlineStr">
        <is>
          <t>National Laboratories, Leading STEM Research Universities, Clean Tech Consortia</t>
        </is>
      </c>
      <c r="O11" s="12" t="inlineStr">
        <is>
          <t>$1B+ in federal program funding supported</t>
        </is>
      </c>
      <c r="P11" s="12" t="inlineStr">
        <is>
          <t>Tracking upcoming solicitations before official FOA release and monitoring agency budget allocations across federal dockets</t>
        </is>
      </c>
      <c r="Q11" s="12" t="inlineStr">
        <is>
          <t>Predictive FOA release forecasting, national lab testbed access, and Bayh-Dole patent linkages</t>
        </is>
      </c>
      <c r="R11" s="12" t="inlineStr">
        <is>
          <t>5-10 seats ($7,500 - $15,000/mo flat rate @ $1,500/seat)</t>
        </is>
      </c>
      <c r="S11" s="15" t="n">
        <v>20000</v>
      </c>
      <c r="T11" s="21" t="inlineStr">
        <is>
          <t>Not Contacted</t>
        </is>
      </c>
      <c r="U11" s="13" t="inlineStr"/>
      <c r="V11" s="13" t="inlineStr"/>
      <c r="W11" s="13" t="inlineStr"/>
      <c r="X11" s="13" t="inlineStr"/>
      <c r="Y11" s="22" t="inlineStr">
        <is>
          <t>Hi April,
I've been following Lewis-Burke Associates LLC's impressive work advising clean tech and hardtech clients across DOE Office of Science.
We recently launched the Energy Innovation Terminal (terminal.aixenergy.io) by AIxEnergy, an intelligence platform designed specifically for clean energy grant writing and technical consultancies.
Three capabilities that Lewis-Burke Associates LLC's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11" s="12" t="inlineStr"/>
    </row>
    <row r="12">
      <c r="A12" s="23" t="n">
        <v>8</v>
      </c>
      <c r="B12" s="24" t="inlineStr">
        <is>
          <t>Jack Miller</t>
        </is>
      </c>
      <c r="C12" s="25" t="inlineStr">
        <is>
          <t>Jack</t>
        </is>
      </c>
      <c r="D12" s="25" t="inlineStr">
        <is>
          <t>Vice President, Energy Practice</t>
        </is>
      </c>
      <c r="E12" s="25" t="inlineStr">
        <is>
          <t>Tier 1: Senior Executive / Partner (Decision Maker)</t>
        </is>
      </c>
      <c r="F12" s="24" t="inlineStr">
        <is>
          <t>Lewis-Burke Associates LLC</t>
        </is>
      </c>
      <c r="G12" s="25" t="inlineStr">
        <is>
          <t>https://lewis-burke.com</t>
        </is>
      </c>
      <c r="H12" s="25" t="inlineStr">
        <is>
          <t>Government Relations &amp; National Lab Strategy</t>
        </is>
      </c>
      <c r="I12" s="25" t="inlineStr">
        <is>
          <t>40-70</t>
        </is>
      </c>
      <c r="J12" s="25" t="inlineStr">
        <is>
          <t>jack@lewis-burke.com</t>
        </is>
      </c>
      <c r="K12" s="25" t="inlineStr">
        <is>
          <t>(202) 289-7475</t>
        </is>
      </c>
      <c r="L12" s="25" t="inlineStr">
        <is>
          <t>Washington, DC</t>
        </is>
      </c>
      <c r="M12" s="25" t="inlineStr">
        <is>
          <t>DOE Office of Science, ARPA-E, National Labs, NSF TIP</t>
        </is>
      </c>
      <c r="N12" s="25" t="inlineStr">
        <is>
          <t>National Laboratories, Leading STEM Research Universities, Clean Tech Consortia</t>
        </is>
      </c>
      <c r="O12" s="25" t="inlineStr">
        <is>
          <t>$1B+ in federal program funding supported</t>
        </is>
      </c>
      <c r="P12" s="25" t="inlineStr">
        <is>
          <t>Tracking upcoming solicitations before official FOA release and monitoring agency budget allocations across federal dockets</t>
        </is>
      </c>
      <c r="Q12" s="25" t="inlineStr">
        <is>
          <t>Predictive FOA release forecasting, national lab testbed access, and Bayh-Dole patent linkages</t>
        </is>
      </c>
      <c r="R12" s="25" t="inlineStr">
        <is>
          <t>5-10 seats ($7,500 - $15,000/mo flat rate @ $1,500/seat)</t>
        </is>
      </c>
      <c r="S12" s="26" t="n">
        <v>20000</v>
      </c>
      <c r="T12" s="23" t="inlineStr">
        <is>
          <t>Not Contacted</t>
        </is>
      </c>
      <c r="U12" s="27" t="inlineStr"/>
      <c r="V12" s="27" t="inlineStr"/>
      <c r="W12" s="27" t="inlineStr"/>
      <c r="X12" s="27" t="inlineStr"/>
      <c r="Y12" s="28" t="inlineStr">
        <is>
          <t>Hi Jack,
I've been following Lewis-Burke Associates LLC's impressive work advising clean tech and hardtech clients across DOE Office of Science.
We recently launched the Energy Innovation Terminal (terminal.aixenergy.io) by AIxEnergy, an intelligence platform designed specifically for clean energy grant writing and technical consultancies.
Three capabilities that Lewis-Burke Associates LLC's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12" s="25" t="inlineStr"/>
    </row>
    <row r="13">
      <c r="A13" s="21" t="n">
        <v>9</v>
      </c>
      <c r="B13" s="11" t="inlineStr">
        <is>
          <t>Ken Gidney</t>
        </is>
      </c>
      <c r="C13" s="12" t="inlineStr">
        <is>
          <t>Ken</t>
        </is>
      </c>
      <c r="D13" s="12" t="inlineStr">
        <is>
          <t>Managing Director</t>
        </is>
      </c>
      <c r="E13" s="12" t="inlineStr">
        <is>
          <t>Tier 1: Senior Executive / Partner (Decision Maker)</t>
        </is>
      </c>
      <c r="F13" s="11" t="inlineStr">
        <is>
          <t>Strategic Marketing Innovations (SMI)</t>
        </is>
      </c>
      <c r="G13" s="12" t="inlineStr">
        <is>
          <t>https://strategicmi.com</t>
        </is>
      </c>
      <c r="H13" s="12" t="inlineStr">
        <is>
          <t>Defense &amp; Energy Tech Commercialization</t>
        </is>
      </c>
      <c r="I13" s="12" t="inlineStr">
        <is>
          <t>30-60</t>
        </is>
      </c>
      <c r="J13" s="12" t="inlineStr">
        <is>
          <t>kgidney@strategicmi.com</t>
        </is>
      </c>
      <c r="K13" s="12" t="inlineStr">
        <is>
          <t>(202) 467-5459</t>
        </is>
      </c>
      <c r="L13" s="12" t="inlineStr">
        <is>
          <t>Washington, DC</t>
        </is>
      </c>
      <c r="M13" s="12" t="inlineStr">
        <is>
          <t>DOD (DARPA, ONR, AFRL), DOE EERE, ARPA-E, SBIR/STTR Phase I/II/III</t>
        </is>
      </c>
      <c r="N13" s="12" t="inlineStr">
        <is>
          <t>Defense Dual-Use Hardware, Advanced Materials, Grid Security Startups</t>
        </is>
      </c>
      <c r="O13" s="12" t="inlineStr">
        <is>
          <t>$800M+ secured for deep tech clients</t>
        </is>
      </c>
      <c r="P13" s="12" t="inlineStr">
        <is>
          <t>Managing multi-volume proposal responses (Technical, SOPO, Budget) with complex federal cost accounting and commercialization roadmaps</t>
        </is>
      </c>
      <c r="Q13" s="12" t="inlineStr">
        <is>
          <t>4-part automated proposal blueprint with mandatory compliance stage gates and red-team fatal flaw checklists</t>
        </is>
      </c>
      <c r="R13" s="12" t="inlineStr">
        <is>
          <t>5-10 seats ($7,500 - $15,000/mo flat rate @ $1,500/seat)</t>
        </is>
      </c>
      <c r="S13" s="15" t="n">
        <v>20000</v>
      </c>
      <c r="T13" s="21" t="inlineStr">
        <is>
          <t>Not Contacted</t>
        </is>
      </c>
      <c r="U13" s="13" t="inlineStr"/>
      <c r="V13" s="13" t="inlineStr"/>
      <c r="W13" s="13" t="inlineStr"/>
      <c r="X13" s="13" t="inlineStr"/>
      <c r="Y13" s="22" t="inlineStr">
        <is>
          <t>Hi Ken,
I've been following Strategic Marketing Innovations (SMI)'s impressive work advising clean tech and hardtech clients across DOD (DARPA.
We recently launched the Energy Innovation Terminal (terminal.aixenergy.io) by AIxEnergy, an intelligence platform designed specifically for clean energy grant writing and technical consultancies.
Three capabilities that Strategic Marketing Innovations (SMI)'s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13" s="12" t="inlineStr"/>
    </row>
    <row r="14">
      <c r="A14" s="23" t="n">
        <v>10</v>
      </c>
      <c r="B14" s="24" t="inlineStr">
        <is>
          <t>Bill D'Agostino</t>
        </is>
      </c>
      <c r="C14" s="25" t="inlineStr">
        <is>
          <t>Bill</t>
        </is>
      </c>
      <c r="D14" s="25" t="inlineStr">
        <is>
          <t>Senior VP, Clean Energy</t>
        </is>
      </c>
      <c r="E14" s="25" t="inlineStr">
        <is>
          <t>Tier 2: Practice Leader / Director (Budget Approver)</t>
        </is>
      </c>
      <c r="F14" s="24" t="inlineStr">
        <is>
          <t>Strategic Marketing Innovations (SMI)</t>
        </is>
      </c>
      <c r="G14" s="25" t="inlineStr">
        <is>
          <t>https://strategicmi.com</t>
        </is>
      </c>
      <c r="H14" s="25" t="inlineStr">
        <is>
          <t>Defense &amp; Energy Tech Commercialization</t>
        </is>
      </c>
      <c r="I14" s="25" t="inlineStr">
        <is>
          <t>30-60</t>
        </is>
      </c>
      <c r="J14" s="25" t="inlineStr">
        <is>
          <t>bdagostino@strategicmi.com</t>
        </is>
      </c>
      <c r="K14" s="25" t="inlineStr">
        <is>
          <t>(202) 467-5459</t>
        </is>
      </c>
      <c r="L14" s="25" t="inlineStr">
        <is>
          <t>Washington, DC</t>
        </is>
      </c>
      <c r="M14" s="25" t="inlineStr">
        <is>
          <t>DOD (DARPA, ONR, AFRL), DOE EERE, ARPA-E, SBIR/STTR Phase I/II/III</t>
        </is>
      </c>
      <c r="N14" s="25" t="inlineStr">
        <is>
          <t>Defense Dual-Use Hardware, Advanced Materials, Grid Security Startups</t>
        </is>
      </c>
      <c r="O14" s="25" t="inlineStr">
        <is>
          <t>$800M+ secured for deep tech clients</t>
        </is>
      </c>
      <c r="P14" s="25" t="inlineStr">
        <is>
          <t>Managing multi-volume proposal responses (Technical, SOPO, Budget) with complex federal cost accounting and commercialization roadmaps</t>
        </is>
      </c>
      <c r="Q14" s="25" t="inlineStr">
        <is>
          <t>4-part automated proposal blueprint with mandatory compliance stage gates and red-team fatal flaw checklists</t>
        </is>
      </c>
      <c r="R14" s="25" t="inlineStr">
        <is>
          <t>5-10 seats ($7,500 - $15,000/mo flat rate @ $1,500/seat)</t>
        </is>
      </c>
      <c r="S14" s="26" t="n">
        <v>20000</v>
      </c>
      <c r="T14" s="23" t="inlineStr">
        <is>
          <t>Not Contacted</t>
        </is>
      </c>
      <c r="U14" s="27" t="inlineStr"/>
      <c r="V14" s="27" t="inlineStr"/>
      <c r="W14" s="27" t="inlineStr"/>
      <c r="X14" s="27" t="inlineStr"/>
      <c r="Y14" s="28" t="inlineStr">
        <is>
          <t>Hi Bill,
I've been following Strategic Marketing Innovations (SMI)'s impressive work advising clean tech and hardtech clients across DOD (DARPA.
We recently launched the Energy Innovation Terminal (terminal.aixenergy.io) by AIxEnergy, an intelligence platform designed specifically for clean energy grant writing and technical consultancies.
Three capabilities that Strategic Marketing Innovations (SMI)'s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14" s="25" t="inlineStr"/>
    </row>
    <row r="15">
      <c r="A15" s="21" t="n">
        <v>11</v>
      </c>
      <c r="B15" s="11" t="inlineStr">
        <is>
          <t>Richard Youngman</t>
        </is>
      </c>
      <c r="C15" s="12" t="inlineStr">
        <is>
          <t>Richard</t>
        </is>
      </c>
      <c r="D15" s="12" t="inlineStr">
        <is>
          <t>CEO</t>
        </is>
      </c>
      <c r="E15" s="12" t="inlineStr">
        <is>
          <t>Tier 1: Senior Executive / Partner (Decision Maker)</t>
        </is>
      </c>
      <c r="F15" s="11" t="inlineStr">
        <is>
          <t>Cleantech Group</t>
        </is>
      </c>
      <c r="G15" s="12" t="inlineStr">
        <is>
          <t>https://cleantech.com</t>
        </is>
      </c>
      <c r="H15" s="12" t="inlineStr">
        <is>
          <t>Global Cleantech Market Intelligence &amp; Advisory</t>
        </is>
      </c>
      <c r="I15" s="12" t="inlineStr">
        <is>
          <t>50-100</t>
        </is>
      </c>
      <c r="J15" s="12" t="inlineStr">
        <is>
          <t>richard.youngman@cleantech.com</t>
        </is>
      </c>
      <c r="K15" s="12" t="inlineStr">
        <is>
          <t>(415) 233-9700</t>
        </is>
      </c>
      <c r="L15" s="12" t="inlineStr">
        <is>
          <t>San Francisco, CA</t>
        </is>
      </c>
      <c r="M15" s="12" t="inlineStr">
        <is>
          <t>Global Public-Private Grant Programs, DOE, EU Horizon Europe, CEC EPIC</t>
        </is>
      </c>
      <c r="N15" s="12" t="inlineStr">
        <is>
          <t>Global Clean Tech 100, Climate VCs, Corporate CVCs, Growth Startups</t>
        </is>
      </c>
      <c r="O15" s="12" t="inlineStr">
        <is>
          <t>Indexes $10B+ in annual venture &amp; grant financing</t>
        </is>
      </c>
      <c r="P15" s="12" t="inlineStr">
        <is>
          <t>Synthesizing non-dilutive grant capital alongside private venture rounds and SEC filings into unified market reports</t>
        </is>
      </c>
      <c r="Q15" s="12" t="inlineStr">
        <is>
          <t>Unified 5-Stage Capital Continuum (Grants + SEC Form D + VC Rounds + LPO Debt + Patents) in single-click PDF export</t>
        </is>
      </c>
      <c r="R15" s="12" t="inlineStr">
        <is>
          <t>5-10 seats ($7,500 - $15,000/mo flat rate @ $1,500/seat)</t>
        </is>
      </c>
      <c r="S15" s="15" t="n">
        <v>20000</v>
      </c>
      <c r="T15" s="21" t="inlineStr">
        <is>
          <t>Not Contacted</t>
        </is>
      </c>
      <c r="U15" s="13" t="inlineStr"/>
      <c r="V15" s="13" t="inlineStr"/>
      <c r="W15" s="13" t="inlineStr"/>
      <c r="X15" s="13" t="inlineStr"/>
      <c r="Y15" s="22" t="inlineStr">
        <is>
          <t>Hi Richard,
I've been following Cleantech Group's impressive work advising clean tech and hardtech clients across Global Public-Private Grant Programs.
We recently launched the Energy Innovation Terminal (terminal.aixenergy.io) by AIxEnergy, an intelligence platform designed specifically for clean energy grant writing and technical consultancies.
Three capabilities that Cleantech Group's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15" s="12" t="inlineStr"/>
    </row>
    <row r="16">
      <c r="A16" s="23" t="n">
        <v>12</v>
      </c>
      <c r="B16" s="24" t="inlineStr">
        <is>
          <t>Todd Allmendinger</t>
        </is>
      </c>
      <c r="C16" s="25" t="inlineStr">
        <is>
          <t>Todd</t>
        </is>
      </c>
      <c r="D16" s="25" t="inlineStr">
        <is>
          <t>Director of Research</t>
        </is>
      </c>
      <c r="E16" s="25" t="inlineStr">
        <is>
          <t>Tier 2: Practice Leader / Director (Budget Approver)</t>
        </is>
      </c>
      <c r="F16" s="24" t="inlineStr">
        <is>
          <t>Cleantech Group</t>
        </is>
      </c>
      <c r="G16" s="25" t="inlineStr">
        <is>
          <t>https://cleantech.com</t>
        </is>
      </c>
      <c r="H16" s="25" t="inlineStr">
        <is>
          <t>Global Cleantech Market Intelligence &amp; Advisory</t>
        </is>
      </c>
      <c r="I16" s="25" t="inlineStr">
        <is>
          <t>50-100</t>
        </is>
      </c>
      <c r="J16" s="25" t="inlineStr">
        <is>
          <t>todd.allmendinger@cleantech.com</t>
        </is>
      </c>
      <c r="K16" s="25" t="inlineStr">
        <is>
          <t>(415) 233-9700</t>
        </is>
      </c>
      <c r="L16" s="25" t="inlineStr">
        <is>
          <t>San Francisco, CA</t>
        </is>
      </c>
      <c r="M16" s="25" t="inlineStr">
        <is>
          <t>Global Public-Private Grant Programs, DOE, EU Horizon Europe, CEC EPIC</t>
        </is>
      </c>
      <c r="N16" s="25" t="inlineStr">
        <is>
          <t>Global Clean Tech 100, Climate VCs, Corporate CVCs, Growth Startups</t>
        </is>
      </c>
      <c r="O16" s="25" t="inlineStr">
        <is>
          <t>Indexes $10B+ in annual venture &amp; grant financing</t>
        </is>
      </c>
      <c r="P16" s="25" t="inlineStr">
        <is>
          <t>Synthesizing non-dilutive grant capital alongside private venture rounds and SEC filings into unified market reports</t>
        </is>
      </c>
      <c r="Q16" s="25" t="inlineStr">
        <is>
          <t>Unified 5-Stage Capital Continuum (Grants + SEC Form D + VC Rounds + LPO Debt + Patents) in single-click PDF export</t>
        </is>
      </c>
      <c r="R16" s="25" t="inlineStr">
        <is>
          <t>5-10 seats ($7,500 - $15,000/mo flat rate @ $1,500/seat)</t>
        </is>
      </c>
      <c r="S16" s="26" t="n">
        <v>20000</v>
      </c>
      <c r="T16" s="23" t="inlineStr">
        <is>
          <t>Not Contacted</t>
        </is>
      </c>
      <c r="U16" s="27" t="inlineStr"/>
      <c r="V16" s="27" t="inlineStr"/>
      <c r="W16" s="27" t="inlineStr"/>
      <c r="X16" s="27" t="inlineStr"/>
      <c r="Y16" s="28" t="inlineStr">
        <is>
          <t>Hi Todd,
I've been following Cleantech Group's impressive work advising clean tech and hardtech clients across Global Public-Private Grant Programs.
We recently launched the Energy Innovation Terminal (terminal.aixenergy.io) by AIxEnergy, an intelligence platform designed specifically for clean energy grant writing and technical consultancies.
Three capabilities that Cleantech Group's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16" s="25" t="inlineStr"/>
    </row>
    <row r="17">
      <c r="A17" s="21" t="n">
        <v>13</v>
      </c>
      <c r="B17" s="11" t="inlineStr">
        <is>
          <t>Joe Bryan</t>
        </is>
      </c>
      <c r="C17" s="12" t="inlineStr">
        <is>
          <t>Joe</t>
        </is>
      </c>
      <c r="D17" s="12" t="inlineStr">
        <is>
          <t>Principal &amp; Co-Founder</t>
        </is>
      </c>
      <c r="E17" s="12" t="inlineStr">
        <is>
          <t>Tier 1: Senior Executive / Partner (Decision Maker)</t>
        </is>
      </c>
      <c r="F17" s="11" t="inlineStr">
        <is>
          <t>Pioneer Public Affairs</t>
        </is>
      </c>
      <c r="G17" s="12" t="inlineStr">
        <is>
          <t>https://pioneerpublicaffairs.com</t>
        </is>
      </c>
      <c r="H17" s="12" t="inlineStr">
        <is>
          <t>Climate Policy &amp; Clean Energy Procurement</t>
        </is>
      </c>
      <c r="I17" s="12" t="inlineStr">
        <is>
          <t>20-40</t>
        </is>
      </c>
      <c r="J17" s="12" t="inlineStr">
        <is>
          <t>joe@pioneerpublicaffairs.com</t>
        </is>
      </c>
      <c r="K17" s="12" t="inlineStr">
        <is>
          <t>(202) 750-1770</t>
        </is>
      </c>
      <c r="L17" s="12" t="inlineStr">
        <is>
          <t>Washington, DC</t>
        </is>
      </c>
      <c r="M17" s="12" t="inlineStr">
        <is>
          <t>DOE, EPA, DOD Clean Energy, Treasury IRA Programs</t>
        </is>
      </c>
      <c r="N17" s="12" t="inlineStr">
        <is>
          <t>Climate Tech Unicorns, Clean Heavy Industry, EV Fleet Operators</t>
        </is>
      </c>
      <c r="O17" s="12" t="inlineStr">
        <is>
          <t>$1.2B+ in IRA &amp; IIJA applications advised</t>
        </is>
      </c>
      <c r="P17" s="12" t="inlineStr">
        <is>
          <t>Navigating statutory compliance clauses (Buy America, Prevailing Wage, Justice40) for rapid client advisory</t>
        </is>
      </c>
      <c r="Q17" s="12" t="inlineStr">
        <is>
          <t>Automated extraction of statutory restrictions, DAC targeting, and cost-share waiver rules across solicitations</t>
        </is>
      </c>
      <c r="R17" s="12" t="inlineStr">
        <is>
          <t>5-10 seats ($7,500 - $15,000/mo flat rate @ $1,500/seat)</t>
        </is>
      </c>
      <c r="S17" s="15" t="n">
        <v>20000</v>
      </c>
      <c r="T17" s="21" t="inlineStr">
        <is>
          <t>Not Contacted</t>
        </is>
      </c>
      <c r="U17" s="13" t="inlineStr"/>
      <c r="V17" s="13" t="inlineStr"/>
      <c r="W17" s="13" t="inlineStr"/>
      <c r="X17" s="13" t="inlineStr"/>
      <c r="Y17" s="22" t="inlineStr">
        <is>
          <t>Hi Joe,
I've been following Pioneer Public Affairs's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Pioneer Public Affairs's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17" s="12" t="inlineStr"/>
    </row>
    <row r="18">
      <c r="A18" s="23" t="n">
        <v>14</v>
      </c>
      <c r="B18" s="24" t="inlineStr">
        <is>
          <t>Charlie Ellsworth</t>
        </is>
      </c>
      <c r="C18" s="25" t="inlineStr">
        <is>
          <t>Charlie</t>
        </is>
      </c>
      <c r="D18" s="25" t="inlineStr">
        <is>
          <t>Partner</t>
        </is>
      </c>
      <c r="E18" s="25" t="inlineStr">
        <is>
          <t>Tier 1: Senior Executive / Partner (Decision Maker)</t>
        </is>
      </c>
      <c r="F18" s="24" t="inlineStr">
        <is>
          <t>Pioneer Public Affairs</t>
        </is>
      </c>
      <c r="G18" s="25" t="inlineStr">
        <is>
          <t>https://pioneerpublicaffairs.com</t>
        </is>
      </c>
      <c r="H18" s="25" t="inlineStr">
        <is>
          <t>Climate Policy &amp; Clean Energy Procurement</t>
        </is>
      </c>
      <c r="I18" s="25" t="inlineStr">
        <is>
          <t>20-40</t>
        </is>
      </c>
      <c r="J18" s="25" t="inlineStr">
        <is>
          <t>charlie@pioneerpublicaffairs.com</t>
        </is>
      </c>
      <c r="K18" s="25" t="inlineStr">
        <is>
          <t>(202) 750-1770</t>
        </is>
      </c>
      <c r="L18" s="25" t="inlineStr">
        <is>
          <t>Washington, DC</t>
        </is>
      </c>
      <c r="M18" s="25" t="inlineStr">
        <is>
          <t>DOE, EPA, DOD Clean Energy, Treasury IRA Programs</t>
        </is>
      </c>
      <c r="N18" s="25" t="inlineStr">
        <is>
          <t>Climate Tech Unicorns, Clean Heavy Industry, EV Fleet Operators</t>
        </is>
      </c>
      <c r="O18" s="25" t="inlineStr">
        <is>
          <t>$1.2B+ in IRA &amp; IIJA applications advised</t>
        </is>
      </c>
      <c r="P18" s="25" t="inlineStr">
        <is>
          <t>Navigating statutory compliance clauses (Buy America, Prevailing Wage, Justice40) for rapid client advisory</t>
        </is>
      </c>
      <c r="Q18" s="25" t="inlineStr">
        <is>
          <t>Automated extraction of statutory restrictions, DAC targeting, and cost-share waiver rules across solicitations</t>
        </is>
      </c>
      <c r="R18" s="25" t="inlineStr">
        <is>
          <t>5-10 seats ($7,500 - $15,000/mo flat rate @ $1,500/seat)</t>
        </is>
      </c>
      <c r="S18" s="26" t="n">
        <v>20000</v>
      </c>
      <c r="T18" s="23" t="inlineStr">
        <is>
          <t>Not Contacted</t>
        </is>
      </c>
      <c r="U18" s="27" t="inlineStr"/>
      <c r="V18" s="27" t="inlineStr"/>
      <c r="W18" s="27" t="inlineStr"/>
      <c r="X18" s="27" t="inlineStr"/>
      <c r="Y18" s="28" t="inlineStr">
        <is>
          <t>Hi Charlie,
I've been following Pioneer Public Affairs's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Pioneer Public Affairs's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18" s="25" t="inlineStr"/>
    </row>
    <row r="19">
      <c r="A19" s="21" t="n">
        <v>15</v>
      </c>
      <c r="B19" s="11" t="inlineStr">
        <is>
          <t>Colin O'Mara</t>
        </is>
      </c>
      <c r="C19" s="12" t="inlineStr">
        <is>
          <t>Colin</t>
        </is>
      </c>
      <c r="D19" s="12" t="inlineStr">
        <is>
          <t>Senior Advisor, Energy Practice</t>
        </is>
      </c>
      <c r="E19" s="12" t="inlineStr">
        <is>
          <t>Tier 3: Senior Strategist / Proposal Lead (Power User)</t>
        </is>
      </c>
      <c r="F19" s="11" t="inlineStr">
        <is>
          <t>Pioneer Public Affairs</t>
        </is>
      </c>
      <c r="G19" s="12" t="inlineStr">
        <is>
          <t>https://pioneerpublicaffairs.com</t>
        </is>
      </c>
      <c r="H19" s="12" t="inlineStr">
        <is>
          <t>Climate Policy &amp; Clean Energy Procurement</t>
        </is>
      </c>
      <c r="I19" s="12" t="inlineStr">
        <is>
          <t>20-40</t>
        </is>
      </c>
      <c r="J19" s="12" t="inlineStr">
        <is>
          <t>colin@pioneerpublicaffairs.com</t>
        </is>
      </c>
      <c r="K19" s="12" t="inlineStr">
        <is>
          <t>(202) 750-1770</t>
        </is>
      </c>
      <c r="L19" s="12" t="inlineStr">
        <is>
          <t>Washington, DC</t>
        </is>
      </c>
      <c r="M19" s="12" t="inlineStr">
        <is>
          <t>DOE, EPA, DOD Clean Energy, Treasury IRA Programs</t>
        </is>
      </c>
      <c r="N19" s="12" t="inlineStr">
        <is>
          <t>Climate Tech Unicorns, Clean Heavy Industry, EV Fleet Operators</t>
        </is>
      </c>
      <c r="O19" s="12" t="inlineStr">
        <is>
          <t>$1.2B+ in IRA &amp; IIJA applications advised</t>
        </is>
      </c>
      <c r="P19" s="12" t="inlineStr">
        <is>
          <t>Navigating statutory compliance clauses (Buy America, Prevailing Wage, Justice40) for rapid client advisory</t>
        </is>
      </c>
      <c r="Q19" s="12" t="inlineStr">
        <is>
          <t>Automated extraction of statutory restrictions, DAC targeting, and cost-share waiver rules across solicitations</t>
        </is>
      </c>
      <c r="R19" s="12" t="inlineStr">
        <is>
          <t>5-10 seats ($7,500 - $15,000/mo flat rate @ $1,500/seat)</t>
        </is>
      </c>
      <c r="S19" s="15" t="n">
        <v>20000</v>
      </c>
      <c r="T19" s="21" t="inlineStr">
        <is>
          <t>Not Contacted</t>
        </is>
      </c>
      <c r="U19" s="13" t="inlineStr"/>
      <c r="V19" s="13" t="inlineStr"/>
      <c r="W19" s="13" t="inlineStr"/>
      <c r="X19" s="13" t="inlineStr"/>
      <c r="Y19" s="22" t="inlineStr">
        <is>
          <t>Hi Colin,
I've been following Pioneer Public Affairs's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Pioneer Public Affairs's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19" s="12" t="inlineStr"/>
    </row>
    <row r="20">
      <c r="A20" s="23" t="n">
        <v>16</v>
      </c>
      <c r="B20" s="24" t="inlineStr">
        <is>
          <t>Mark O'Connell</t>
        </is>
      </c>
      <c r="C20" s="25" t="inlineStr">
        <is>
          <t>Mark</t>
        </is>
      </c>
      <c r="D20" s="25" t="inlineStr">
        <is>
          <t>Managing Director</t>
        </is>
      </c>
      <c r="E20" s="25" t="inlineStr">
        <is>
          <t>Tier 1: Senior Executive / Partner (Decision Maker)</t>
        </is>
      </c>
      <c r="F20" s="24" t="inlineStr">
        <is>
          <t>KeyLogic Systems</t>
        </is>
      </c>
      <c r="G20" s="25" t="inlineStr">
        <is>
          <t>https://keylogic.com</t>
        </is>
      </c>
      <c r="H20" s="25" t="inlineStr">
        <is>
          <t>Energy Systems &amp; Lab Technical Advisory</t>
        </is>
      </c>
      <c r="I20" s="25" t="inlineStr">
        <is>
          <t>200-400</t>
        </is>
      </c>
      <c r="J20" s="25" t="inlineStr">
        <is>
          <t>moconnell@keylogic.com</t>
        </is>
      </c>
      <c r="K20" s="25" t="inlineStr">
        <is>
          <t>(800) 800-2410</t>
        </is>
      </c>
      <c r="L20" s="25" t="inlineStr">
        <is>
          <t>Morgantown, WV</t>
        </is>
      </c>
      <c r="M20" s="25" t="inlineStr">
        <is>
          <t>DOE NETL, DOE Office of Clean Energy Demonstrations (OCED)</t>
        </is>
      </c>
      <c r="N20" s="25" t="inlineStr">
        <is>
          <t>Carbon Capture (CCUS), Hydrogen, Advanced Turbines, Power Utilities</t>
        </is>
      </c>
      <c r="O20" s="25" t="inlineStr">
        <is>
          <t>$3B+ federal program management</t>
        </is>
      </c>
      <c r="P20" s="25" t="inlineStr">
        <is>
          <t>Reviewing and synthesizing technical merit scoring criteria for high-TRL demonstration projects</t>
        </is>
      </c>
      <c r="Q20" s="25" t="inlineStr">
        <is>
          <t>Institutional Reviewer Scoring Rubric breakdown with weighted sub-factors and technical fatal flaw analysis</t>
        </is>
      </c>
      <c r="R20" s="25" t="inlineStr">
        <is>
          <t>5-10 seats ($7,500 - $15,000/mo flat rate @ $1,500/seat)</t>
        </is>
      </c>
      <c r="S20" s="26" t="n">
        <v>20000</v>
      </c>
      <c r="T20" s="23" t="inlineStr">
        <is>
          <t>Not Contacted</t>
        </is>
      </c>
      <c r="U20" s="27" t="inlineStr"/>
      <c r="V20" s="27" t="inlineStr"/>
      <c r="W20" s="27" t="inlineStr"/>
      <c r="X20" s="27" t="inlineStr"/>
      <c r="Y20" s="28" t="inlineStr">
        <is>
          <t>Hi Mark,
I've been following KeyLogic Systems's impressive work advising clean tech and hardtech clients across DOE NETL.
We recently launched the Energy Innovation Terminal (terminal.aixenergy.io) by AIxEnergy, an intelligence platform designed specifically for clean energy grant writing and technical consultancies.
Three capabilities that KeyLogic Systems's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20" s="25" t="inlineStr"/>
    </row>
    <row r="21">
      <c r="A21" s="21" t="n">
        <v>17</v>
      </c>
      <c r="B21" s="11" t="inlineStr">
        <is>
          <t>Scott Staruch</t>
        </is>
      </c>
      <c r="C21" s="12" t="inlineStr">
        <is>
          <t>Scott</t>
        </is>
      </c>
      <c r="D21" s="12" t="inlineStr">
        <is>
          <t>VP, Energy &amp; Government Strategy</t>
        </is>
      </c>
      <c r="E21" s="12" t="inlineStr">
        <is>
          <t>Tier 2: Practice Leader / Director (Budget Approver)</t>
        </is>
      </c>
      <c r="F21" s="11" t="inlineStr">
        <is>
          <t>KeyLogic Systems</t>
        </is>
      </c>
      <c r="G21" s="12" t="inlineStr">
        <is>
          <t>https://keylogic.com</t>
        </is>
      </c>
      <c r="H21" s="12" t="inlineStr">
        <is>
          <t>Energy Systems &amp; Lab Technical Advisory</t>
        </is>
      </c>
      <c r="I21" s="12" t="inlineStr">
        <is>
          <t>200-400</t>
        </is>
      </c>
      <c r="J21" s="12" t="inlineStr">
        <is>
          <t>sstaruch@keylogic.com</t>
        </is>
      </c>
      <c r="K21" s="12" t="inlineStr">
        <is>
          <t>(800) 800-2410</t>
        </is>
      </c>
      <c r="L21" s="12" t="inlineStr">
        <is>
          <t>Washington, DC</t>
        </is>
      </c>
      <c r="M21" s="12" t="inlineStr">
        <is>
          <t>DOE NETL, DOE Office of Clean Energy Demonstrations (OCED)</t>
        </is>
      </c>
      <c r="N21" s="12" t="inlineStr">
        <is>
          <t>Carbon Capture (CCUS), Hydrogen, Advanced Turbines, Power Utilities</t>
        </is>
      </c>
      <c r="O21" s="12" t="inlineStr">
        <is>
          <t>$3B+ federal program management</t>
        </is>
      </c>
      <c r="P21" s="12" t="inlineStr">
        <is>
          <t>Reviewing and synthesizing technical merit scoring criteria for high-TRL demonstration projects</t>
        </is>
      </c>
      <c r="Q21" s="12" t="inlineStr">
        <is>
          <t>Institutional Reviewer Scoring Rubric breakdown with weighted sub-factors and technical fatal flaw analysis</t>
        </is>
      </c>
      <c r="R21" s="12" t="inlineStr">
        <is>
          <t>5-10 seats ($7,500 - $15,000/mo flat rate @ $1,500/seat)</t>
        </is>
      </c>
      <c r="S21" s="15" t="n">
        <v>20000</v>
      </c>
      <c r="T21" s="21" t="inlineStr">
        <is>
          <t>Not Contacted</t>
        </is>
      </c>
      <c r="U21" s="13" t="inlineStr"/>
      <c r="V21" s="13" t="inlineStr"/>
      <c r="W21" s="13" t="inlineStr"/>
      <c r="X21" s="13" t="inlineStr"/>
      <c r="Y21" s="22" t="inlineStr">
        <is>
          <t>Hi Scott,
I've been following KeyLogic Systems's impressive work advising clean tech and hardtech clients across DOE NETL.
We recently launched the Energy Innovation Terminal (terminal.aixenergy.io) by AIxEnergy, an intelligence platform designed specifically for clean energy grant writing and technical consultancies.
Three capabilities that KeyLogic Systems's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21" s="12" t="inlineStr"/>
    </row>
    <row r="22">
      <c r="A22" s="23" t="n">
        <v>18</v>
      </c>
      <c r="B22" s="24" t="inlineStr">
        <is>
          <t>Kyle Hermany</t>
        </is>
      </c>
      <c r="C22" s="25" t="inlineStr">
        <is>
          <t>Kyle</t>
        </is>
      </c>
      <c r="D22" s="25" t="inlineStr">
        <is>
          <t>Partner</t>
        </is>
      </c>
      <c r="E22" s="25" t="inlineStr">
        <is>
          <t>Tier 1: Senior Executive / Partner (Decision Maker)</t>
        </is>
      </c>
      <c r="F22" s="24" t="inlineStr">
        <is>
          <t>ADL Ventures</t>
        </is>
      </c>
      <c r="G22" s="25" t="inlineStr">
        <is>
          <t>https://adlventures.com</t>
        </is>
      </c>
      <c r="H22" s="25" t="inlineStr">
        <is>
          <t>Corporate Venture Studio &amp; Non-Dilutive Strategy</t>
        </is>
      </c>
      <c r="I22" s="25" t="inlineStr">
        <is>
          <t>20-50</t>
        </is>
      </c>
      <c r="J22" s="25" t="inlineStr">
        <is>
          <t>kyle@adlventures.com</t>
        </is>
      </c>
      <c r="K22" s="25" t="inlineStr">
        <is>
          <t>(617) 945-8120</t>
        </is>
      </c>
      <c r="L22" s="25" t="inlineStr">
        <is>
          <t>Boston, MA</t>
        </is>
      </c>
      <c r="M22" s="25" t="inlineStr">
        <is>
          <t>DOE BTO, NYSERDA, CEC, NSF</t>
        </is>
      </c>
      <c r="N22" s="25" t="inlineStr">
        <is>
          <t>Building Decarbonization Startups, HVAC Tech, Utility Tech Startups</t>
        </is>
      </c>
      <c r="O22" s="25" t="inlineStr">
        <is>
          <t>$400M+ in co-developed non-dilutive projects</t>
        </is>
      </c>
      <c r="P22" s="25" t="inlineStr">
        <is>
          <t>Screening dozens of state and federal funding opportunities monthly for venture studio portfolio co-builds</t>
        </is>
      </c>
      <c r="Q22" s="25" t="inlineStr">
        <is>
          <t>Multi-criteria grant matching engine filtering by TRL, sector, geography, and cost-share requirements</t>
        </is>
      </c>
      <c r="R22" s="25" t="inlineStr">
        <is>
          <t>5-10 seats ($7,500 - $15,000/mo flat rate @ $1,500/seat)</t>
        </is>
      </c>
      <c r="S22" s="26" t="n">
        <v>20000</v>
      </c>
      <c r="T22" s="23" t="inlineStr">
        <is>
          <t>Not Contacted</t>
        </is>
      </c>
      <c r="U22" s="27" t="inlineStr"/>
      <c r="V22" s="27" t="inlineStr"/>
      <c r="W22" s="27" t="inlineStr"/>
      <c r="X22" s="27" t="inlineStr"/>
      <c r="Y22" s="28" t="inlineStr">
        <is>
          <t>Hi Kyle,
I've been following ADL Ventures's impressive work advising clean tech and hardtech clients across DOE BTO.
We recently launched the Energy Innovation Terminal (terminal.aixenergy.io) by AIxEnergy, an intelligence platform designed specifically for clean energy grant writing and technical consultancies.
Three capabilities that ADL Ventures's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22" s="25" t="inlineStr"/>
    </row>
    <row r="23">
      <c r="A23" s="21" t="n">
        <v>19</v>
      </c>
      <c r="B23" s="11" t="inlineStr">
        <is>
          <t>Chris Richardson</t>
        </is>
      </c>
      <c r="C23" s="12" t="inlineStr">
        <is>
          <t>Chris</t>
        </is>
      </c>
      <c r="D23" s="12" t="inlineStr">
        <is>
          <t>Partner</t>
        </is>
      </c>
      <c r="E23" s="12" t="inlineStr">
        <is>
          <t>Tier 1: Senior Executive / Partner (Decision Maker)</t>
        </is>
      </c>
      <c r="F23" s="11" t="inlineStr">
        <is>
          <t>ADL Ventures</t>
        </is>
      </c>
      <c r="G23" s="12" t="inlineStr">
        <is>
          <t>https://adlventures.com</t>
        </is>
      </c>
      <c r="H23" s="12" t="inlineStr">
        <is>
          <t>Corporate Venture Studio &amp; Non-Dilutive Strategy</t>
        </is>
      </c>
      <c r="I23" s="12" t="inlineStr">
        <is>
          <t>20-50</t>
        </is>
      </c>
      <c r="J23" s="12" t="inlineStr">
        <is>
          <t>chris@adlventures.com</t>
        </is>
      </c>
      <c r="K23" s="12" t="inlineStr">
        <is>
          <t>(617) 945-8120</t>
        </is>
      </c>
      <c r="L23" s="12" t="inlineStr">
        <is>
          <t>San Francisco, CA</t>
        </is>
      </c>
      <c r="M23" s="12" t="inlineStr">
        <is>
          <t>DOE BTO, NYSERDA, CEC, NSF</t>
        </is>
      </c>
      <c r="N23" s="12" t="inlineStr">
        <is>
          <t>Building Decarbonization Startups, HVAC Tech, Utility Tech Startups</t>
        </is>
      </c>
      <c r="O23" s="12" t="inlineStr">
        <is>
          <t>$400M+ in co-developed non-dilutive projects</t>
        </is>
      </c>
      <c r="P23" s="12" t="inlineStr">
        <is>
          <t>Screening dozens of state and federal funding opportunities monthly for venture studio portfolio co-builds</t>
        </is>
      </c>
      <c r="Q23" s="12" t="inlineStr">
        <is>
          <t>Multi-criteria grant matching engine filtering by TRL, sector, geography, and cost-share requirements</t>
        </is>
      </c>
      <c r="R23" s="12" t="inlineStr">
        <is>
          <t>5-10 seats ($7,500 - $15,000/mo flat rate @ $1,500/seat)</t>
        </is>
      </c>
      <c r="S23" s="15" t="n">
        <v>20000</v>
      </c>
      <c r="T23" s="21" t="inlineStr">
        <is>
          <t>Not Contacted</t>
        </is>
      </c>
      <c r="U23" s="13" t="inlineStr"/>
      <c r="V23" s="13" t="inlineStr"/>
      <c r="W23" s="13" t="inlineStr"/>
      <c r="X23" s="13" t="inlineStr"/>
      <c r="Y23" s="22" t="inlineStr">
        <is>
          <t>Hi Chris,
I've been following ADL Ventures's impressive work advising clean tech and hardtech clients across DOE BTO.
We recently launched the Energy Innovation Terminal (terminal.aixenergy.io) by AIxEnergy, an intelligence platform designed specifically for clean energy grant writing and technical consultancies.
Three capabilities that ADL Ventures's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23" s="12" t="inlineStr"/>
    </row>
    <row r="24">
      <c r="A24" s="23" t="n">
        <v>20</v>
      </c>
      <c r="B24" s="24" t="inlineStr">
        <is>
          <t>Jon Creyts</t>
        </is>
      </c>
      <c r="C24" s="25" t="inlineStr">
        <is>
          <t>Jon</t>
        </is>
      </c>
      <c r="D24" s="25" t="inlineStr">
        <is>
          <t>CEO</t>
        </is>
      </c>
      <c r="E24" s="25" t="inlineStr">
        <is>
          <t>Tier 1: Senior Executive / Partner (Decision Maker)</t>
        </is>
      </c>
      <c r="F24" s="24" t="inlineStr">
        <is>
          <t>RMI / Third Derivative</t>
        </is>
      </c>
      <c r="G24" s="25" t="inlineStr">
        <is>
          <t>https://thirdderivative.org</t>
        </is>
      </c>
      <c r="H24" s="25" t="inlineStr">
        <is>
          <t>Global Climate Tech Accelerator &amp; Non-Profit Advisory</t>
        </is>
      </c>
      <c r="I24" s="25" t="inlineStr">
        <is>
          <t>100-250</t>
        </is>
      </c>
      <c r="J24" s="25" t="inlineStr">
        <is>
          <t>jcreyts@rmi.org</t>
        </is>
      </c>
      <c r="K24" s="25" t="inlineStr">
        <is>
          <t>(303) 245-1003</t>
        </is>
      </c>
      <c r="L24" s="25" t="inlineStr">
        <is>
          <t>Boulder, CO</t>
        </is>
      </c>
      <c r="M24" s="25" t="inlineStr">
        <is>
          <t>DOE, State Energy Offices, Global Climate Funds</t>
        </is>
      </c>
      <c r="N24" s="25" t="inlineStr">
        <is>
          <t>Early Stage (Seed to Series B) Hardtech Innovators across 100+ startups</t>
        </is>
      </c>
      <c r="O24" s="25" t="inlineStr">
        <is>
          <t>150+ portfolio startups actively seeking grants</t>
        </is>
      </c>
      <c r="P24" s="25" t="inlineStr">
        <is>
          <t>Providing grant search and FOA compliance tooling to 100+ portfolio companies without endless manual consulting hours</t>
        </is>
      </c>
      <c r="Q24" s="25" t="inlineStr">
        <is>
          <t>Turnkey portal and PDF blueprint exports that startups can use immediately to craft winning applications</t>
        </is>
      </c>
      <c r="R24" s="25" t="inlineStr">
        <is>
          <t>5-10 seats ($7,500 - $15,000/mo flat rate @ $1,500/seat)</t>
        </is>
      </c>
      <c r="S24" s="26" t="n">
        <v>20000</v>
      </c>
      <c r="T24" s="23" t="inlineStr">
        <is>
          <t>Not Contacted</t>
        </is>
      </c>
      <c r="U24" s="27" t="inlineStr"/>
      <c r="V24" s="27" t="inlineStr"/>
      <c r="W24" s="27" t="inlineStr"/>
      <c r="X24" s="27" t="inlineStr"/>
      <c r="Y24" s="28" t="inlineStr">
        <is>
          <t>Hi Jon,
I've been following RMI / Third Derivative's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RMI / Third Derivative's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24" s="25" t="inlineStr"/>
    </row>
    <row r="25">
      <c r="A25" s="21" t="n">
        <v>21</v>
      </c>
      <c r="B25" s="11" t="inlineStr">
        <is>
          <t>Bryan Fisher</t>
        </is>
      </c>
      <c r="C25" s="12" t="inlineStr">
        <is>
          <t>Bryan</t>
        </is>
      </c>
      <c r="D25" s="12" t="inlineStr">
        <is>
          <t>Managing Director</t>
        </is>
      </c>
      <c r="E25" s="12" t="inlineStr">
        <is>
          <t>Tier 1: Senior Executive / Partner (Decision Maker)</t>
        </is>
      </c>
      <c r="F25" s="11" t="inlineStr">
        <is>
          <t>RMI</t>
        </is>
      </c>
      <c r="G25" s="12" t="inlineStr">
        <is>
          <t>https://energyadvisory.com</t>
        </is>
      </c>
      <c r="H25" s="12" t="inlineStr">
        <is>
          <t>Clean Tech &amp; Energy Advisory</t>
        </is>
      </c>
      <c r="I25" s="12" t="inlineStr">
        <is>
          <t>20-100</t>
        </is>
      </c>
      <c r="J25" s="12" t="inlineStr">
        <is>
          <t>bfisher@rmi.org</t>
        </is>
      </c>
      <c r="K25" s="12" t="inlineStr">
        <is>
          <t>(303) 245-1003</t>
        </is>
      </c>
      <c r="L25" s="12" t="inlineStr">
        <is>
          <t>Boulder, CO</t>
        </is>
      </c>
      <c r="M25" s="12" t="inlineStr">
        <is>
          <t>DOE, NYSERDA, CEC, NSF</t>
        </is>
      </c>
      <c r="N25" s="12" t="inlineStr">
        <is>
          <t>Clean Tech Startups, Utilities, Research Consortia</t>
        </is>
      </c>
      <c r="O25" s="12" t="inlineStr">
        <is>
          <t>$500M+ federal and state grant applications supported</t>
        </is>
      </c>
      <c r="P25" s="12" t="inlineStr">
        <is>
          <t>Manual FOA decomposition and multi-database research consuming 20+ hours per proposal</t>
        </is>
      </c>
      <c r="Q25" s="12" t="inlineStr">
        <is>
          <t>10-second FOA shredder, 4-part PDF blueprints, and 5-stage capital continuum ledgers</t>
        </is>
      </c>
      <c r="R25" s="12" t="inlineStr">
        <is>
          <t>5-10 seats ($7,500 - $15,000/mo flat rate @ $1,500/seat)</t>
        </is>
      </c>
      <c r="S25" s="15" t="n">
        <v>20000</v>
      </c>
      <c r="T25" s="21" t="inlineStr">
        <is>
          <t>Not Contacted</t>
        </is>
      </c>
      <c r="U25" s="13" t="inlineStr"/>
      <c r="V25" s="13" t="inlineStr"/>
      <c r="W25" s="13" t="inlineStr"/>
      <c r="X25" s="13" t="inlineStr"/>
      <c r="Y25" s="22" t="inlineStr">
        <is>
          <t>Hi Bryan,
I've been following RMI's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RMI's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25" s="12" t="inlineStr"/>
    </row>
    <row r="26">
      <c r="A26" s="23" t="n">
        <v>22</v>
      </c>
      <c r="B26" s="24" t="inlineStr">
        <is>
          <t>Lachlan Carey</t>
        </is>
      </c>
      <c r="C26" s="25" t="inlineStr">
        <is>
          <t>Lachlan</t>
        </is>
      </c>
      <c r="D26" s="25" t="inlineStr">
        <is>
          <t>Principal, US Program</t>
        </is>
      </c>
      <c r="E26" s="25" t="inlineStr">
        <is>
          <t>Tier 1: Senior Executive / Partner (Decision Maker)</t>
        </is>
      </c>
      <c r="F26" s="24" t="inlineStr">
        <is>
          <t>RMI</t>
        </is>
      </c>
      <c r="G26" s="25" t="inlineStr">
        <is>
          <t>https://energyadvisory.com</t>
        </is>
      </c>
      <c r="H26" s="25" t="inlineStr">
        <is>
          <t>Clean Tech &amp; Energy Advisory</t>
        </is>
      </c>
      <c r="I26" s="25" t="inlineStr">
        <is>
          <t>20-100</t>
        </is>
      </c>
      <c r="J26" s="25" t="inlineStr">
        <is>
          <t>lcarey@rmi.org</t>
        </is>
      </c>
      <c r="K26" s="25" t="inlineStr">
        <is>
          <t>(202) 717-8488</t>
        </is>
      </c>
      <c r="L26" s="25" t="inlineStr">
        <is>
          <t>Washington, DC</t>
        </is>
      </c>
      <c r="M26" s="25" t="inlineStr">
        <is>
          <t>DOE, NYSERDA, CEC, NSF</t>
        </is>
      </c>
      <c r="N26" s="25" t="inlineStr">
        <is>
          <t>Clean Tech Startups, Utilities, Research Consortia</t>
        </is>
      </c>
      <c r="O26" s="25" t="inlineStr">
        <is>
          <t>$500M+ federal and state grant applications supported</t>
        </is>
      </c>
      <c r="P26" s="25" t="inlineStr">
        <is>
          <t>Manual FOA decomposition and multi-database research consuming 20+ hours per proposal</t>
        </is>
      </c>
      <c r="Q26" s="25" t="inlineStr">
        <is>
          <t>10-second FOA shredder, 4-part PDF blueprints, and 5-stage capital continuum ledgers</t>
        </is>
      </c>
      <c r="R26" s="25" t="inlineStr">
        <is>
          <t>5-10 seats ($7,500 - $15,000/mo flat rate @ $1,500/seat)</t>
        </is>
      </c>
      <c r="S26" s="26" t="n">
        <v>20000</v>
      </c>
      <c r="T26" s="23" t="inlineStr">
        <is>
          <t>Not Contacted</t>
        </is>
      </c>
      <c r="U26" s="27" t="inlineStr"/>
      <c r="V26" s="27" t="inlineStr"/>
      <c r="W26" s="27" t="inlineStr"/>
      <c r="X26" s="27" t="inlineStr"/>
      <c r="Y26" s="28" t="inlineStr">
        <is>
          <t>Hi Lachlan,
I've been following RMI's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RMI's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26" s="25" t="inlineStr"/>
    </row>
    <row r="27">
      <c r="A27" s="21" t="n">
        <v>23</v>
      </c>
      <c r="B27" s="11" t="inlineStr">
        <is>
          <t>Paul Hibbard</t>
        </is>
      </c>
      <c r="C27" s="12" t="inlineStr">
        <is>
          <t>Paul</t>
        </is>
      </c>
      <c r="D27" s="12" t="inlineStr">
        <is>
          <t>Principal</t>
        </is>
      </c>
      <c r="E27" s="12" t="inlineStr">
        <is>
          <t>Tier 1: Senior Executive / Partner (Decision Maker)</t>
        </is>
      </c>
      <c r="F27" s="11" t="inlineStr">
        <is>
          <t>Analysis Group (Energy Practice)</t>
        </is>
      </c>
      <c r="G27" s="12" t="inlineStr">
        <is>
          <t>https://energyadvisory.com</t>
        </is>
      </c>
      <c r="H27" s="12" t="inlineStr">
        <is>
          <t>Clean Tech &amp; Energy Advisory</t>
        </is>
      </c>
      <c r="I27" s="12" t="inlineStr">
        <is>
          <t>20-100</t>
        </is>
      </c>
      <c r="J27" s="12" t="inlineStr">
        <is>
          <t>paul.hibbard@analysisgroup.com</t>
        </is>
      </c>
      <c r="K27" s="12" t="inlineStr">
        <is>
          <t>(617) 425-8000</t>
        </is>
      </c>
      <c r="L27" s="12" t="inlineStr">
        <is>
          <t>Boston, MA</t>
        </is>
      </c>
      <c r="M27" s="12" t="inlineStr">
        <is>
          <t>DOE, NYSERDA, CEC, NSF</t>
        </is>
      </c>
      <c r="N27" s="12" t="inlineStr">
        <is>
          <t>Clean Tech Startups, Utilities, Research Consortia</t>
        </is>
      </c>
      <c r="O27" s="12" t="inlineStr">
        <is>
          <t>$500M+ federal and state grant applications supported</t>
        </is>
      </c>
      <c r="P27" s="12" t="inlineStr">
        <is>
          <t>Manual FOA decomposition and multi-database research consuming 20+ hours per proposal</t>
        </is>
      </c>
      <c r="Q27" s="12" t="inlineStr">
        <is>
          <t>10-second FOA shredder, 4-part PDF blueprints, and 5-stage capital continuum ledgers</t>
        </is>
      </c>
      <c r="R27" s="12" t="inlineStr">
        <is>
          <t>5-10 seats ($7,500 - $15,000/mo flat rate @ $1,500/seat)</t>
        </is>
      </c>
      <c r="S27" s="15" t="n">
        <v>20000</v>
      </c>
      <c r="T27" s="21" t="inlineStr">
        <is>
          <t>Not Contacted</t>
        </is>
      </c>
      <c r="U27" s="13" t="inlineStr"/>
      <c r="V27" s="13" t="inlineStr"/>
      <c r="W27" s="13" t="inlineStr"/>
      <c r="X27" s="13" t="inlineStr"/>
      <c r="Y27" s="22" t="inlineStr">
        <is>
          <t>Hi Paul,
I've been following Analysis Group (Energy Practice)'s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Analysis Group (Energy Practice)'s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27" s="12" t="inlineStr"/>
    </row>
    <row r="28">
      <c r="A28" s="23" t="n">
        <v>24</v>
      </c>
      <c r="B28" s="24" t="inlineStr">
        <is>
          <t>Susan Tierney</t>
        </is>
      </c>
      <c r="C28" s="25" t="inlineStr">
        <is>
          <t>Susan</t>
        </is>
      </c>
      <c r="D28" s="25" t="inlineStr">
        <is>
          <t>Senior Advisor</t>
        </is>
      </c>
      <c r="E28" s="25" t="inlineStr">
        <is>
          <t>Tier 3: Senior Strategist / Proposal Lead (Power User)</t>
        </is>
      </c>
      <c r="F28" s="24" t="inlineStr">
        <is>
          <t>Analysis Group</t>
        </is>
      </c>
      <c r="G28" s="25" t="inlineStr">
        <is>
          <t>https://energyadvisory.com</t>
        </is>
      </c>
      <c r="H28" s="25" t="inlineStr">
        <is>
          <t>Clean Tech &amp; Energy Advisory</t>
        </is>
      </c>
      <c r="I28" s="25" t="inlineStr">
        <is>
          <t>20-100</t>
        </is>
      </c>
      <c r="J28" s="25" t="inlineStr">
        <is>
          <t>susan.tierney@analysisgroup.com</t>
        </is>
      </c>
      <c r="K28" s="25" t="inlineStr">
        <is>
          <t>(617) 425-8000</t>
        </is>
      </c>
      <c r="L28" s="25" t="inlineStr">
        <is>
          <t>Denver, CO</t>
        </is>
      </c>
      <c r="M28" s="25" t="inlineStr">
        <is>
          <t>DOE, NYSERDA, CEC, NSF</t>
        </is>
      </c>
      <c r="N28" s="25" t="inlineStr">
        <is>
          <t>Clean Tech Startups, Utilities, Research Consortia</t>
        </is>
      </c>
      <c r="O28" s="25" t="inlineStr">
        <is>
          <t>$500M+ federal and state grant applications supported</t>
        </is>
      </c>
      <c r="P28" s="25" t="inlineStr">
        <is>
          <t>Manual FOA decomposition and multi-database research consuming 20+ hours per proposal</t>
        </is>
      </c>
      <c r="Q28" s="25" t="inlineStr">
        <is>
          <t>10-second FOA shredder, 4-part PDF blueprints, and 5-stage capital continuum ledgers</t>
        </is>
      </c>
      <c r="R28" s="25" t="inlineStr">
        <is>
          <t>5-10 seats ($7,500 - $15,000/mo flat rate @ $1,500/seat)</t>
        </is>
      </c>
      <c r="S28" s="26" t="n">
        <v>20000</v>
      </c>
      <c r="T28" s="23" t="inlineStr">
        <is>
          <t>Not Contacted</t>
        </is>
      </c>
      <c r="U28" s="27" t="inlineStr"/>
      <c r="V28" s="27" t="inlineStr"/>
      <c r="W28" s="27" t="inlineStr"/>
      <c r="X28" s="27" t="inlineStr"/>
      <c r="Y28" s="28" t="inlineStr">
        <is>
          <t>Hi Susan,
I've been following Analysis Group's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Analysis Group's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28" s="25" t="inlineStr"/>
    </row>
    <row r="29">
      <c r="A29" s="21" t="n">
        <v>25</v>
      </c>
      <c r="B29" s="11" t="inlineStr">
        <is>
          <t>David Gold</t>
        </is>
      </c>
      <c r="C29" s="12" t="inlineStr">
        <is>
          <t>David</t>
        </is>
      </c>
      <c r="D29" s="12" t="inlineStr">
        <is>
          <t>Managing Director</t>
        </is>
      </c>
      <c r="E29" s="12" t="inlineStr">
        <is>
          <t>Tier 1: Senior Executive / Partner (Decision Maker)</t>
        </is>
      </c>
      <c r="F29" s="11" t="inlineStr">
        <is>
          <t>Access Venture Partners</t>
        </is>
      </c>
      <c r="G29" s="12" t="inlineStr">
        <is>
          <t>https://energyadvisory.com</t>
        </is>
      </c>
      <c r="H29" s="12" t="inlineStr">
        <is>
          <t>Clean Tech &amp; Energy Advisory</t>
        </is>
      </c>
      <c r="I29" s="12" t="inlineStr">
        <is>
          <t>20-100</t>
        </is>
      </c>
      <c r="J29" s="12" t="inlineStr">
        <is>
          <t>dgold@accessvp.com</t>
        </is>
      </c>
      <c r="K29" s="12" t="inlineStr">
        <is>
          <t>(303) 444-1234</t>
        </is>
      </c>
      <c r="L29" s="12" t="inlineStr">
        <is>
          <t>Westminster, CO</t>
        </is>
      </c>
      <c r="M29" s="12" t="inlineStr">
        <is>
          <t>DOE, NYSERDA, CEC, NSF</t>
        </is>
      </c>
      <c r="N29" s="12" t="inlineStr">
        <is>
          <t>Clean Tech Startups, Utilities, Research Consortia</t>
        </is>
      </c>
      <c r="O29" s="12" t="inlineStr">
        <is>
          <t>$500M+ federal and state grant applications supported</t>
        </is>
      </c>
      <c r="P29" s="12" t="inlineStr">
        <is>
          <t>Manual FOA decomposition and multi-database research consuming 20+ hours per proposal</t>
        </is>
      </c>
      <c r="Q29" s="12" t="inlineStr">
        <is>
          <t>10-second FOA shredder, 4-part PDF blueprints, and 5-stage capital continuum ledgers</t>
        </is>
      </c>
      <c r="R29" s="12" t="inlineStr">
        <is>
          <t>5-10 seats ($7,500 - $15,000/mo flat rate @ $1,500/seat)</t>
        </is>
      </c>
      <c r="S29" s="15" t="n">
        <v>20000</v>
      </c>
      <c r="T29" s="21" t="inlineStr">
        <is>
          <t>Not Contacted</t>
        </is>
      </c>
      <c r="U29" s="13" t="inlineStr"/>
      <c r="V29" s="13" t="inlineStr"/>
      <c r="W29" s="13" t="inlineStr"/>
      <c r="X29" s="13" t="inlineStr"/>
      <c r="Y29" s="22" t="inlineStr">
        <is>
          <t>Hi David,
I've been following Access Venture Partners's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Access Venture Partners's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29" s="12" t="inlineStr"/>
    </row>
    <row r="30">
      <c r="A30" s="23" t="n">
        <v>26</v>
      </c>
      <c r="B30" s="24" t="inlineStr">
        <is>
          <t>Jan Vrins</t>
        </is>
      </c>
      <c r="C30" s="25" t="inlineStr">
        <is>
          <t>Jan</t>
        </is>
      </c>
      <c r="D30" s="25" t="inlineStr">
        <is>
          <t>Global Energy, Sustainability &amp; Infrastructure Leader</t>
        </is>
      </c>
      <c r="E30" s="25" t="inlineStr">
        <is>
          <t>Tier 3: Senior Strategist / Proposal Lead (Power User)</t>
        </is>
      </c>
      <c r="F30" s="24" t="inlineStr">
        <is>
          <t>Guidehouse</t>
        </is>
      </c>
      <c r="G30" s="25" t="inlineStr">
        <is>
          <t>https://guidehouse.com</t>
        </is>
      </c>
      <c r="H30" s="25" t="inlineStr">
        <is>
          <t>Global Energy Transition &amp; Public Sector Advisory</t>
        </is>
      </c>
      <c r="I30" s="25" t="inlineStr">
        <is>
          <t>10,000+ (500+ Energy)</t>
        </is>
      </c>
      <c r="J30" s="25" t="inlineStr">
        <is>
          <t>jvrins@guidehouse.com</t>
        </is>
      </c>
      <c r="K30" s="25" t="inlineStr">
        <is>
          <t>(312) 583-5700</t>
        </is>
      </c>
      <c r="L30" s="25" t="inlineStr">
        <is>
          <t>Chicago, IL</t>
        </is>
      </c>
      <c r="M30" s="25" t="inlineStr">
        <is>
          <t>DOE, NYSERDA, CEC, EPA, Global Utilities</t>
        </is>
      </c>
      <c r="N30" s="25" t="inlineStr">
        <is>
          <t>Fortune 500 Utilities, State Energy Offices, Large Industrial Decarb Projects</t>
        </is>
      </c>
      <c r="O30" s="25" t="inlineStr">
        <is>
          <t>$5B+ in federal and state grant management</t>
        </is>
      </c>
      <c r="P30" s="25" t="inlineStr">
        <is>
          <t>Staffing dozens of proposal managers to shred solicitations and review compliance matrices under billable pressure</t>
        </is>
      </c>
      <c r="Q30" s="25" t="inlineStr">
        <is>
          <t>100x speedup in proposal blueprinting, standardized scoring rubrics, and automated compliance gates</t>
        </is>
      </c>
      <c r="R30" s="25" t="inlineStr">
        <is>
          <t>5-10 seats ($7,500 - $15,000/mo flat rate @ $1,500/seat)</t>
        </is>
      </c>
      <c r="S30" s="26" t="n">
        <v>20000</v>
      </c>
      <c r="T30" s="23" t="inlineStr">
        <is>
          <t>Not Contacted</t>
        </is>
      </c>
      <c r="U30" s="27" t="inlineStr"/>
      <c r="V30" s="27" t="inlineStr"/>
      <c r="W30" s="27" t="inlineStr"/>
      <c r="X30" s="27" t="inlineStr"/>
      <c r="Y30" s="28" t="inlineStr">
        <is>
          <t>Hi Jan,
I've been following Guidehouse's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Guidehouse's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30" s="25" t="inlineStr"/>
    </row>
    <row r="31">
      <c r="A31" s="21" t="n">
        <v>27</v>
      </c>
      <c r="B31" s="11" t="inlineStr">
        <is>
          <t>Dan Beck</t>
        </is>
      </c>
      <c r="C31" s="12" t="inlineStr">
        <is>
          <t>Dan</t>
        </is>
      </c>
      <c r="D31" s="12" t="inlineStr">
        <is>
          <t>Partner, Energy Strategy</t>
        </is>
      </c>
      <c r="E31" s="12" t="inlineStr">
        <is>
          <t>Tier 1: Senior Executive / Partner (Decision Maker)</t>
        </is>
      </c>
      <c r="F31" s="11" t="inlineStr">
        <is>
          <t>Guidehouse</t>
        </is>
      </c>
      <c r="G31" s="12" t="inlineStr">
        <is>
          <t>https://guidehouse.com</t>
        </is>
      </c>
      <c r="H31" s="12" t="inlineStr">
        <is>
          <t>Global Energy Transition &amp; Public Sector Advisory</t>
        </is>
      </c>
      <c r="I31" s="12" t="inlineStr">
        <is>
          <t>10,000+ (500+ Energy)</t>
        </is>
      </c>
      <c r="J31" s="12" t="inlineStr">
        <is>
          <t>dbeck@guidehouse.com</t>
        </is>
      </c>
      <c r="K31" s="12" t="inlineStr">
        <is>
          <t>(202) 973-2400</t>
        </is>
      </c>
      <c r="L31" s="12" t="inlineStr">
        <is>
          <t>Washington, DC</t>
        </is>
      </c>
      <c r="M31" s="12" t="inlineStr">
        <is>
          <t>DOE, NYSERDA, CEC, EPA, Global Utilities</t>
        </is>
      </c>
      <c r="N31" s="12" t="inlineStr">
        <is>
          <t>Fortune 500 Utilities, State Energy Offices, Large Industrial Decarb Projects</t>
        </is>
      </c>
      <c r="O31" s="12" t="inlineStr">
        <is>
          <t>$5B+ in federal and state grant management</t>
        </is>
      </c>
      <c r="P31" s="12" t="inlineStr">
        <is>
          <t>Staffing dozens of proposal managers to shred solicitations and review compliance matrices under billable pressure</t>
        </is>
      </c>
      <c r="Q31" s="12" t="inlineStr">
        <is>
          <t>100x speedup in proposal blueprinting, standardized scoring rubrics, and automated compliance gates</t>
        </is>
      </c>
      <c r="R31" s="12" t="inlineStr">
        <is>
          <t>5-10 seats ($7,500 - $15,000/mo flat rate @ $1,500/seat)</t>
        </is>
      </c>
      <c r="S31" s="15" t="n">
        <v>20000</v>
      </c>
      <c r="T31" s="21" t="inlineStr">
        <is>
          <t>Not Contacted</t>
        </is>
      </c>
      <c r="U31" s="13" t="inlineStr"/>
      <c r="V31" s="13" t="inlineStr"/>
      <c r="W31" s="13" t="inlineStr"/>
      <c r="X31" s="13" t="inlineStr"/>
      <c r="Y31" s="22" t="inlineStr">
        <is>
          <t>Hi Dan,
I've been following Guidehouse's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Guidehouse's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31" s="12" t="inlineStr"/>
    </row>
    <row r="32">
      <c r="A32" s="23" t="n">
        <v>28</v>
      </c>
      <c r="B32" s="24" t="inlineStr">
        <is>
          <t>Karin Corfee</t>
        </is>
      </c>
      <c r="C32" s="25" t="inlineStr">
        <is>
          <t>Karin</t>
        </is>
      </c>
      <c r="D32" s="25" t="inlineStr">
        <is>
          <t>Partner, Sustainability Strategy</t>
        </is>
      </c>
      <c r="E32" s="25" t="inlineStr">
        <is>
          <t>Tier 1: Senior Executive / Partner (Decision Maker)</t>
        </is>
      </c>
      <c r="F32" s="24" t="inlineStr">
        <is>
          <t>Guidehouse</t>
        </is>
      </c>
      <c r="G32" s="25" t="inlineStr">
        <is>
          <t>https://guidehouse.com</t>
        </is>
      </c>
      <c r="H32" s="25" t="inlineStr">
        <is>
          <t>Global Energy Transition &amp; Public Sector Advisory</t>
        </is>
      </c>
      <c r="I32" s="25" t="inlineStr">
        <is>
          <t>10,000+ (500+ Energy)</t>
        </is>
      </c>
      <c r="J32" s="25" t="inlineStr">
        <is>
          <t>kcorfee@guidehouse.com</t>
        </is>
      </c>
      <c r="K32" s="25" t="inlineStr">
        <is>
          <t>(415) 399-2100</t>
        </is>
      </c>
      <c r="L32" s="25" t="inlineStr">
        <is>
          <t>San Francisco, CA</t>
        </is>
      </c>
      <c r="M32" s="25" t="inlineStr">
        <is>
          <t>DOE, NYSERDA, CEC, EPA, Global Utilities</t>
        </is>
      </c>
      <c r="N32" s="25" t="inlineStr">
        <is>
          <t>Fortune 500 Utilities, State Energy Offices, Large Industrial Decarb Projects</t>
        </is>
      </c>
      <c r="O32" s="25" t="inlineStr">
        <is>
          <t>$5B+ in federal and state grant management</t>
        </is>
      </c>
      <c r="P32" s="25" t="inlineStr">
        <is>
          <t>Staffing dozens of proposal managers to shred solicitations and review compliance matrices under billable pressure</t>
        </is>
      </c>
      <c r="Q32" s="25" t="inlineStr">
        <is>
          <t>100x speedup in proposal blueprinting, standardized scoring rubrics, and automated compliance gates</t>
        </is>
      </c>
      <c r="R32" s="25" t="inlineStr">
        <is>
          <t>5-10 seats ($7,500 - $15,000/mo flat rate @ $1,500/seat)</t>
        </is>
      </c>
      <c r="S32" s="26" t="n">
        <v>20000</v>
      </c>
      <c r="T32" s="23" t="inlineStr">
        <is>
          <t>Not Contacted</t>
        </is>
      </c>
      <c r="U32" s="27" t="inlineStr"/>
      <c r="V32" s="27" t="inlineStr"/>
      <c r="W32" s="27" t="inlineStr"/>
      <c r="X32" s="27" t="inlineStr"/>
      <c r="Y32" s="28" t="inlineStr">
        <is>
          <t>Hi Karin,
I've been following Guidehouse's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Guidehouse's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32" s="25" t="inlineStr"/>
    </row>
    <row r="33">
      <c r="A33" s="21" t="n">
        <v>29</v>
      </c>
      <c r="B33" s="11" t="inlineStr">
        <is>
          <t>Anne Pramaggiore</t>
        </is>
      </c>
      <c r="C33" s="12" t="inlineStr">
        <is>
          <t>Anne</t>
        </is>
      </c>
      <c r="D33" s="12" t="inlineStr">
        <is>
          <t>Senior Advisor, Energy</t>
        </is>
      </c>
      <c r="E33" s="12" t="inlineStr">
        <is>
          <t>Tier 3: Senior Strategist / Proposal Lead (Power User)</t>
        </is>
      </c>
      <c r="F33" s="11" t="inlineStr">
        <is>
          <t>Guidehouse</t>
        </is>
      </c>
      <c r="G33" s="12" t="inlineStr">
        <is>
          <t>https://guidehouse.com</t>
        </is>
      </c>
      <c r="H33" s="12" t="inlineStr">
        <is>
          <t>Global Energy Transition &amp; Public Sector Advisory</t>
        </is>
      </c>
      <c r="I33" s="12" t="inlineStr">
        <is>
          <t>10,000+ (500+ Energy)</t>
        </is>
      </c>
      <c r="J33" s="12" t="inlineStr">
        <is>
          <t>apramaggiore@guidehouse.com</t>
        </is>
      </c>
      <c r="K33" s="12" t="inlineStr">
        <is>
          <t>(312) 583-5700</t>
        </is>
      </c>
      <c r="L33" s="12" t="inlineStr">
        <is>
          <t>Chicago, IL</t>
        </is>
      </c>
      <c r="M33" s="12" t="inlineStr">
        <is>
          <t>DOE, NYSERDA, CEC, EPA, Global Utilities</t>
        </is>
      </c>
      <c r="N33" s="12" t="inlineStr">
        <is>
          <t>Fortune 500 Utilities, State Energy Offices, Large Industrial Decarb Projects</t>
        </is>
      </c>
      <c r="O33" s="12" t="inlineStr">
        <is>
          <t>$5B+ in federal and state grant management</t>
        </is>
      </c>
      <c r="P33" s="12" t="inlineStr">
        <is>
          <t>Staffing dozens of proposal managers to shred solicitations and review compliance matrices under billable pressure</t>
        </is>
      </c>
      <c r="Q33" s="12" t="inlineStr">
        <is>
          <t>100x speedup in proposal blueprinting, standardized scoring rubrics, and automated compliance gates</t>
        </is>
      </c>
      <c r="R33" s="12" t="inlineStr">
        <is>
          <t>5-10 seats ($7,500 - $15,000/mo flat rate @ $1,500/seat)</t>
        </is>
      </c>
      <c r="S33" s="15" t="n">
        <v>20000</v>
      </c>
      <c r="T33" s="21" t="inlineStr">
        <is>
          <t>Not Contacted</t>
        </is>
      </c>
      <c r="U33" s="13" t="inlineStr"/>
      <c r="V33" s="13" t="inlineStr"/>
      <c r="W33" s="13" t="inlineStr"/>
      <c r="X33" s="13" t="inlineStr"/>
      <c r="Y33" s="22" t="inlineStr">
        <is>
          <t>Hi Anne,
I've been following Guidehouse's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Guidehouse's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33" s="12" t="inlineStr"/>
    </row>
    <row r="34">
      <c r="A34" s="23" t="n">
        <v>30</v>
      </c>
      <c r="B34" s="24" t="inlineStr">
        <is>
          <t>John Wasson</t>
        </is>
      </c>
      <c r="C34" s="25" t="inlineStr">
        <is>
          <t>John</t>
        </is>
      </c>
      <c r="D34" s="25" t="inlineStr">
        <is>
          <t>Chairman &amp; CEO</t>
        </is>
      </c>
      <c r="E34" s="25" t="inlineStr">
        <is>
          <t>Tier 1: Senior Executive / Partner (Decision Maker)</t>
        </is>
      </c>
      <c r="F34" s="24" t="inlineStr">
        <is>
          <t>ICF</t>
        </is>
      </c>
      <c r="G34" s="25" t="inlineStr">
        <is>
          <t>https://icf.com</t>
        </is>
      </c>
      <c r="H34" s="25" t="inlineStr">
        <is>
          <t>Global Climate, Energy &amp; Environmental Consulting</t>
        </is>
      </c>
      <c r="I34" s="25" t="inlineStr">
        <is>
          <t>9,000+ (400+ Energy)</t>
        </is>
      </c>
      <c r="J34" s="25" t="inlineStr">
        <is>
          <t>john.wasson@icf.com</t>
        </is>
      </c>
      <c r="K34" s="25" t="inlineStr">
        <is>
          <t>(703) 934-3000</t>
        </is>
      </c>
      <c r="L34" s="25" t="inlineStr">
        <is>
          <t>Reston, VA</t>
        </is>
      </c>
      <c r="M34" s="25" t="inlineStr">
        <is>
          <t>DOE, EPA, State Energy Offices, USAID</t>
        </is>
      </c>
      <c r="N34" s="25" t="inlineStr">
        <is>
          <t>Federal Agencies, State Governments, Major Utilities, Clean Tech Developers</t>
        </is>
      </c>
      <c r="O34" s="25" t="inlineStr">
        <is>
          <t>$4B+ in energy programs administered</t>
        </is>
      </c>
      <c r="P34" s="25" t="inlineStr">
        <is>
          <t>Synthesizing multi-state clean energy solicitations and creating client-facing proposal outlines quickly</t>
        </is>
      </c>
      <c r="Q34" s="25" t="inlineStr">
        <is>
          <t>Automated PDF proposal blueprints, cross-agency opportunity filtering, and full recipient history</t>
        </is>
      </c>
      <c r="R34" s="25" t="inlineStr">
        <is>
          <t>5-10 seats ($7,500 - $15,000/mo flat rate @ $1,500/seat)</t>
        </is>
      </c>
      <c r="S34" s="26" t="n">
        <v>20000</v>
      </c>
      <c r="T34" s="23" t="inlineStr">
        <is>
          <t>Not Contacted</t>
        </is>
      </c>
      <c r="U34" s="27" t="inlineStr"/>
      <c r="V34" s="27" t="inlineStr"/>
      <c r="W34" s="27" t="inlineStr"/>
      <c r="X34" s="27" t="inlineStr"/>
      <c r="Y34" s="28" t="inlineStr">
        <is>
          <t>Hi John,
I've been following ICF's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ICF's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34" s="25" t="inlineStr"/>
    </row>
    <row r="35">
      <c r="A35" s="21" t="n">
        <v>31</v>
      </c>
      <c r="B35" s="11" t="inlineStr">
        <is>
          <t>Anne Choate</t>
        </is>
      </c>
      <c r="C35" s="12" t="inlineStr">
        <is>
          <t>Anne</t>
        </is>
      </c>
      <c r="D35" s="12" t="inlineStr">
        <is>
          <t>Executive Vice President, Energy &amp; Climate</t>
        </is>
      </c>
      <c r="E35" s="12" t="inlineStr">
        <is>
          <t>Tier 1: Senior Executive / Partner (Decision Maker)</t>
        </is>
      </c>
      <c r="F35" s="11" t="inlineStr">
        <is>
          <t>ICF</t>
        </is>
      </c>
      <c r="G35" s="12" t="inlineStr">
        <is>
          <t>https://icf.com</t>
        </is>
      </c>
      <c r="H35" s="12" t="inlineStr">
        <is>
          <t>Global Climate, Energy &amp; Environmental Consulting</t>
        </is>
      </c>
      <c r="I35" s="12" t="inlineStr">
        <is>
          <t>9,000+ (400+ Energy)</t>
        </is>
      </c>
      <c r="J35" s="12" t="inlineStr">
        <is>
          <t>anne.choate@icf.com</t>
        </is>
      </c>
      <c r="K35" s="12" t="inlineStr">
        <is>
          <t>(703) 934-3000</t>
        </is>
      </c>
      <c r="L35" s="12" t="inlineStr">
        <is>
          <t>Reston, VA</t>
        </is>
      </c>
      <c r="M35" s="12" t="inlineStr">
        <is>
          <t>DOE, EPA, State Energy Offices, USAID</t>
        </is>
      </c>
      <c r="N35" s="12" t="inlineStr">
        <is>
          <t>Federal Agencies, State Governments, Major Utilities, Clean Tech Developers</t>
        </is>
      </c>
      <c r="O35" s="12" t="inlineStr">
        <is>
          <t>$4B+ in energy programs administered</t>
        </is>
      </c>
      <c r="P35" s="12" t="inlineStr">
        <is>
          <t>Synthesizing multi-state clean energy solicitations and creating client-facing proposal outlines quickly</t>
        </is>
      </c>
      <c r="Q35" s="12" t="inlineStr">
        <is>
          <t>Automated PDF proposal blueprints, cross-agency opportunity filtering, and full recipient history</t>
        </is>
      </c>
      <c r="R35" s="12" t="inlineStr">
        <is>
          <t>5-10 seats ($7,500 - $15,000/mo flat rate @ $1,500/seat)</t>
        </is>
      </c>
      <c r="S35" s="15" t="n">
        <v>20000</v>
      </c>
      <c r="T35" s="21" t="inlineStr">
        <is>
          <t>Not Contacted</t>
        </is>
      </c>
      <c r="U35" s="13" t="inlineStr"/>
      <c r="V35" s="13" t="inlineStr"/>
      <c r="W35" s="13" t="inlineStr"/>
      <c r="X35" s="13" t="inlineStr"/>
      <c r="Y35" s="22" t="inlineStr">
        <is>
          <t>Hi Anne,
I've been following ICF's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ICF's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35" s="12" t="inlineStr"/>
    </row>
    <row r="36">
      <c r="A36" s="23" t="n">
        <v>32</v>
      </c>
      <c r="B36" s="24" t="inlineStr">
        <is>
          <t>Leo Biddle</t>
        </is>
      </c>
      <c r="C36" s="25" t="inlineStr">
        <is>
          <t>Leo</t>
        </is>
      </c>
      <c r="D36" s="25" t="inlineStr">
        <is>
          <t>Senior VP, Energy Advisory</t>
        </is>
      </c>
      <c r="E36" s="25" t="inlineStr">
        <is>
          <t>Tier 2: Practice Leader / Director (Budget Approver)</t>
        </is>
      </c>
      <c r="F36" s="24" t="inlineStr">
        <is>
          <t>ICF</t>
        </is>
      </c>
      <c r="G36" s="25" t="inlineStr">
        <is>
          <t>https://icf.com</t>
        </is>
      </c>
      <c r="H36" s="25" t="inlineStr">
        <is>
          <t>Global Climate, Energy &amp; Environmental Consulting</t>
        </is>
      </c>
      <c r="I36" s="25" t="inlineStr">
        <is>
          <t>9,000+ (400+ Energy)</t>
        </is>
      </c>
      <c r="J36" s="25" t="inlineStr">
        <is>
          <t>leo.biddle@icf.com</t>
        </is>
      </c>
      <c r="K36" s="25" t="inlineStr">
        <is>
          <t>(703) 934-3000</t>
        </is>
      </c>
      <c r="L36" s="25" t="inlineStr">
        <is>
          <t>Reston, VA</t>
        </is>
      </c>
      <c r="M36" s="25" t="inlineStr">
        <is>
          <t>DOE, EPA, State Energy Offices, USAID</t>
        </is>
      </c>
      <c r="N36" s="25" t="inlineStr">
        <is>
          <t>Federal Agencies, State Governments, Major Utilities, Clean Tech Developers</t>
        </is>
      </c>
      <c r="O36" s="25" t="inlineStr">
        <is>
          <t>$4B+ in energy programs administered</t>
        </is>
      </c>
      <c r="P36" s="25" t="inlineStr">
        <is>
          <t>Synthesizing multi-state clean energy solicitations and creating client-facing proposal outlines quickly</t>
        </is>
      </c>
      <c r="Q36" s="25" t="inlineStr">
        <is>
          <t>Automated PDF proposal blueprints, cross-agency opportunity filtering, and full recipient history</t>
        </is>
      </c>
      <c r="R36" s="25" t="inlineStr">
        <is>
          <t>5-10 seats ($7,500 - $15,000/mo flat rate @ $1,500/seat)</t>
        </is>
      </c>
      <c r="S36" s="26" t="n">
        <v>20000</v>
      </c>
      <c r="T36" s="23" t="inlineStr">
        <is>
          <t>Not Contacted</t>
        </is>
      </c>
      <c r="U36" s="27" t="inlineStr"/>
      <c r="V36" s="27" t="inlineStr"/>
      <c r="W36" s="27" t="inlineStr"/>
      <c r="X36" s="27" t="inlineStr"/>
      <c r="Y36" s="28" t="inlineStr">
        <is>
          <t>Hi Leo,
I've been following ICF's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ICF's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36" s="25" t="inlineStr"/>
    </row>
    <row r="37">
      <c r="A37" s="21" t="n">
        <v>33</v>
      </c>
      <c r="B37" s="11" t="inlineStr">
        <is>
          <t>Amber Mahone</t>
        </is>
      </c>
      <c r="C37" s="12" t="inlineStr">
        <is>
          <t>Amber</t>
        </is>
      </c>
      <c r="D37" s="12" t="inlineStr">
        <is>
          <t>Partner</t>
        </is>
      </c>
      <c r="E37" s="12" t="inlineStr">
        <is>
          <t>Tier 1: Senior Executive / Partner (Decision Maker)</t>
        </is>
      </c>
      <c r="F37" s="11" t="inlineStr">
        <is>
          <t>Energy and Environmental Economics (E3)</t>
        </is>
      </c>
      <c r="G37" s="12" t="inlineStr">
        <is>
          <t>https://energyadvisory.com</t>
        </is>
      </c>
      <c r="H37" s="12" t="inlineStr">
        <is>
          <t>Clean Tech &amp; Energy Advisory</t>
        </is>
      </c>
      <c r="I37" s="12" t="inlineStr">
        <is>
          <t>20-100</t>
        </is>
      </c>
      <c r="J37" s="12" t="inlineStr">
        <is>
          <t>amber@ethree.com</t>
        </is>
      </c>
      <c r="K37" s="12" t="inlineStr">
        <is>
          <t>(415) 391-5100</t>
        </is>
      </c>
      <c r="L37" s="12" t="inlineStr">
        <is>
          <t>San Francisco, CA</t>
        </is>
      </c>
      <c r="M37" s="12" t="inlineStr">
        <is>
          <t>DOE, NYSERDA, CEC, NSF</t>
        </is>
      </c>
      <c r="N37" s="12" t="inlineStr">
        <is>
          <t>Clean Tech Startups, Utilities, Research Consortia</t>
        </is>
      </c>
      <c r="O37" s="12" t="inlineStr">
        <is>
          <t>$500M+ federal and state grant applications supported</t>
        </is>
      </c>
      <c r="P37" s="12" t="inlineStr">
        <is>
          <t>Manual FOA decomposition and multi-database research consuming 20+ hours per proposal</t>
        </is>
      </c>
      <c r="Q37" s="12" t="inlineStr">
        <is>
          <t>10-second FOA shredder, 4-part PDF blueprints, and 5-stage capital continuum ledgers</t>
        </is>
      </c>
      <c r="R37" s="12" t="inlineStr">
        <is>
          <t>5-10 seats ($7,500 - $15,000/mo flat rate @ $1,500/seat)</t>
        </is>
      </c>
      <c r="S37" s="15" t="n">
        <v>20000</v>
      </c>
      <c r="T37" s="21" t="inlineStr">
        <is>
          <t>Not Contacted</t>
        </is>
      </c>
      <c r="U37" s="13" t="inlineStr"/>
      <c r="V37" s="13" t="inlineStr"/>
      <c r="W37" s="13" t="inlineStr"/>
      <c r="X37" s="13" t="inlineStr"/>
      <c r="Y37" s="22" t="inlineStr">
        <is>
          <t>Hi Amber,
I've been following Energy and Environmental Economics (E3)'s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Energy and Environmental Economics (E3)'s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37" s="12" t="inlineStr"/>
    </row>
    <row r="38">
      <c r="A38" s="23" t="n">
        <v>34</v>
      </c>
      <c r="B38" s="24" t="inlineStr">
        <is>
          <t>Kush Patel</t>
        </is>
      </c>
      <c r="C38" s="25" t="inlineStr">
        <is>
          <t>Kush</t>
        </is>
      </c>
      <c r="D38" s="25" t="inlineStr">
        <is>
          <t>Partner</t>
        </is>
      </c>
      <c r="E38" s="25" t="inlineStr">
        <is>
          <t>Tier 1: Senior Executive / Partner (Decision Maker)</t>
        </is>
      </c>
      <c r="F38" s="24" t="inlineStr">
        <is>
          <t>Energy and Environmental Economics (E3)</t>
        </is>
      </c>
      <c r="G38" s="25" t="inlineStr">
        <is>
          <t>https://energyadvisory.com</t>
        </is>
      </c>
      <c r="H38" s="25" t="inlineStr">
        <is>
          <t>Clean Tech &amp; Energy Advisory</t>
        </is>
      </c>
      <c r="I38" s="25" t="inlineStr">
        <is>
          <t>20-100</t>
        </is>
      </c>
      <c r="J38" s="25" t="inlineStr">
        <is>
          <t>kush@ethree.com</t>
        </is>
      </c>
      <c r="K38" s="25" t="inlineStr">
        <is>
          <t>(415) 391-5100</t>
        </is>
      </c>
      <c r="L38" s="25" t="inlineStr">
        <is>
          <t>New York, NY</t>
        </is>
      </c>
      <c r="M38" s="25" t="inlineStr">
        <is>
          <t>DOE, NYSERDA, CEC, NSF</t>
        </is>
      </c>
      <c r="N38" s="25" t="inlineStr">
        <is>
          <t>Clean Tech Startups, Utilities, Research Consortia</t>
        </is>
      </c>
      <c r="O38" s="25" t="inlineStr">
        <is>
          <t>$500M+ federal and state grant applications supported</t>
        </is>
      </c>
      <c r="P38" s="25" t="inlineStr">
        <is>
          <t>Manual FOA decomposition and multi-database research consuming 20+ hours per proposal</t>
        </is>
      </c>
      <c r="Q38" s="25" t="inlineStr">
        <is>
          <t>10-second FOA shredder, 4-part PDF blueprints, and 5-stage capital continuum ledgers</t>
        </is>
      </c>
      <c r="R38" s="25" t="inlineStr">
        <is>
          <t>5-10 seats ($7,500 - $15,000/mo flat rate @ $1,500/seat)</t>
        </is>
      </c>
      <c r="S38" s="26" t="n">
        <v>20000</v>
      </c>
      <c r="T38" s="23" t="inlineStr">
        <is>
          <t>Not Contacted</t>
        </is>
      </c>
      <c r="U38" s="27" t="inlineStr"/>
      <c r="V38" s="27" t="inlineStr"/>
      <c r="W38" s="27" t="inlineStr"/>
      <c r="X38" s="27" t="inlineStr"/>
      <c r="Y38" s="28" t="inlineStr">
        <is>
          <t>Hi Kush,
I've been following Energy and Environmental Economics (E3)'s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Energy and Environmental Economics (E3)'s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38" s="25" t="inlineStr"/>
    </row>
    <row r="39">
      <c r="A39" s="21" t="n">
        <v>35</v>
      </c>
      <c r="B39" s="11" t="inlineStr">
        <is>
          <t>Eric Cutter</t>
        </is>
      </c>
      <c r="C39" s="12" t="inlineStr">
        <is>
          <t>Eric</t>
        </is>
      </c>
      <c r="D39" s="12" t="inlineStr">
        <is>
          <t>Partner</t>
        </is>
      </c>
      <c r="E39" s="12" t="inlineStr">
        <is>
          <t>Tier 1: Senior Executive / Partner (Decision Maker)</t>
        </is>
      </c>
      <c r="F39" s="11" t="inlineStr">
        <is>
          <t>Energy and Environmental Economics (E3)</t>
        </is>
      </c>
      <c r="G39" s="12" t="inlineStr">
        <is>
          <t>https://energyadvisory.com</t>
        </is>
      </c>
      <c r="H39" s="12" t="inlineStr">
        <is>
          <t>Clean Tech &amp; Energy Advisory</t>
        </is>
      </c>
      <c r="I39" s="12" t="inlineStr">
        <is>
          <t>20-100</t>
        </is>
      </c>
      <c r="J39" s="12" t="inlineStr">
        <is>
          <t>eric@ethree.com</t>
        </is>
      </c>
      <c r="K39" s="12" t="inlineStr">
        <is>
          <t>(415) 391-5100</t>
        </is>
      </c>
      <c r="L39" s="12" t="inlineStr">
        <is>
          <t>San Francisco, CA</t>
        </is>
      </c>
      <c r="M39" s="12" t="inlineStr">
        <is>
          <t>DOE, NYSERDA, CEC, NSF</t>
        </is>
      </c>
      <c r="N39" s="12" t="inlineStr">
        <is>
          <t>Clean Tech Startups, Utilities, Research Consortia</t>
        </is>
      </c>
      <c r="O39" s="12" t="inlineStr">
        <is>
          <t>$500M+ federal and state grant applications supported</t>
        </is>
      </c>
      <c r="P39" s="12" t="inlineStr">
        <is>
          <t>Manual FOA decomposition and multi-database research consuming 20+ hours per proposal</t>
        </is>
      </c>
      <c r="Q39" s="12" t="inlineStr">
        <is>
          <t>10-second FOA shredder, 4-part PDF blueprints, and 5-stage capital continuum ledgers</t>
        </is>
      </c>
      <c r="R39" s="12" t="inlineStr">
        <is>
          <t>5-10 seats ($7,500 - $15,000/mo flat rate @ $1,500/seat)</t>
        </is>
      </c>
      <c r="S39" s="15" t="n">
        <v>20000</v>
      </c>
      <c r="T39" s="21" t="inlineStr">
        <is>
          <t>Not Contacted</t>
        </is>
      </c>
      <c r="U39" s="13" t="inlineStr"/>
      <c r="V39" s="13" t="inlineStr"/>
      <c r="W39" s="13" t="inlineStr"/>
      <c r="X39" s="13" t="inlineStr"/>
      <c r="Y39" s="22" t="inlineStr">
        <is>
          <t>Hi Eric,
I've been following Energy and Environmental Economics (E3)'s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Energy and Environmental Economics (E3)'s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39" s="12" t="inlineStr"/>
    </row>
    <row r="40">
      <c r="A40" s="23" t="n">
        <v>36</v>
      </c>
      <c r="B40" s="24" t="inlineStr">
        <is>
          <t>Ian Dobson</t>
        </is>
      </c>
      <c r="C40" s="25" t="inlineStr">
        <is>
          <t>Ian</t>
        </is>
      </c>
      <c r="D40" s="25" t="inlineStr">
        <is>
          <t>President &amp; CEO</t>
        </is>
      </c>
      <c r="E40" s="25" t="inlineStr">
        <is>
          <t>Tier 1: Senior Executive / Partner (Decision Maker)</t>
        </is>
      </c>
      <c r="F40" s="24" t="inlineStr">
        <is>
          <t>The Cadmus Group</t>
        </is>
      </c>
      <c r="G40" s="25" t="inlineStr">
        <is>
          <t>https://energyadvisory.com</t>
        </is>
      </c>
      <c r="H40" s="25" t="inlineStr">
        <is>
          <t>Clean Tech &amp; Energy Advisory</t>
        </is>
      </c>
      <c r="I40" s="25" t="inlineStr">
        <is>
          <t>20-100</t>
        </is>
      </c>
      <c r="J40" s="25" t="inlineStr">
        <is>
          <t>ian.dobson@cadmusgroup.com</t>
        </is>
      </c>
      <c r="K40" s="25" t="inlineStr">
        <is>
          <t>(617) 673-7000</t>
        </is>
      </c>
      <c r="L40" s="25" t="inlineStr">
        <is>
          <t>Waltham, MA</t>
        </is>
      </c>
      <c r="M40" s="25" t="inlineStr">
        <is>
          <t>DOE, NYSERDA, CEC, NSF</t>
        </is>
      </c>
      <c r="N40" s="25" t="inlineStr">
        <is>
          <t>Clean Tech Startups, Utilities, Research Consortia</t>
        </is>
      </c>
      <c r="O40" s="25" t="inlineStr">
        <is>
          <t>$500M+ federal and state grant applications supported</t>
        </is>
      </c>
      <c r="P40" s="25" t="inlineStr">
        <is>
          <t>Manual FOA decomposition and multi-database research consuming 20+ hours per proposal</t>
        </is>
      </c>
      <c r="Q40" s="25" t="inlineStr">
        <is>
          <t>10-second FOA shredder, 4-part PDF blueprints, and 5-stage capital continuum ledgers</t>
        </is>
      </c>
      <c r="R40" s="25" t="inlineStr">
        <is>
          <t>5-10 seats ($7,500 - $15,000/mo flat rate @ $1,500/seat)</t>
        </is>
      </c>
      <c r="S40" s="26" t="n">
        <v>20000</v>
      </c>
      <c r="T40" s="23" t="inlineStr">
        <is>
          <t>Not Contacted</t>
        </is>
      </c>
      <c r="U40" s="27" t="inlineStr"/>
      <c r="V40" s="27" t="inlineStr"/>
      <c r="W40" s="27" t="inlineStr"/>
      <c r="X40" s="27" t="inlineStr"/>
      <c r="Y40" s="28" t="inlineStr">
        <is>
          <t>Hi Ian,
I've been following The Cadmus Group's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The Cadmus Group's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40" s="25" t="inlineStr"/>
    </row>
    <row r="41">
      <c r="A41" s="21" t="n">
        <v>37</v>
      </c>
      <c r="B41" s="11" t="inlineStr">
        <is>
          <t>Terry Fry</t>
        </is>
      </c>
      <c r="C41" s="12" t="inlineStr">
        <is>
          <t>Terry</t>
        </is>
      </c>
      <c r="D41" s="12" t="inlineStr">
        <is>
          <t>Senior Vice President, Energy Services</t>
        </is>
      </c>
      <c r="E41" s="12" t="inlineStr">
        <is>
          <t>Tier 1: Senior Executive / Partner (Decision Maker)</t>
        </is>
      </c>
      <c r="F41" s="11" t="inlineStr">
        <is>
          <t>The Cadmus Group</t>
        </is>
      </c>
      <c r="G41" s="12" t="inlineStr">
        <is>
          <t>https://energyadvisory.com</t>
        </is>
      </c>
      <c r="H41" s="12" t="inlineStr">
        <is>
          <t>Clean Tech &amp; Energy Advisory</t>
        </is>
      </c>
      <c r="I41" s="12" t="inlineStr">
        <is>
          <t>20-100</t>
        </is>
      </c>
      <c r="J41" s="12" t="inlineStr">
        <is>
          <t>terry.fry@cadmusgroup.com</t>
        </is>
      </c>
      <c r="K41" s="12" t="inlineStr">
        <is>
          <t>(303) 389-2500</t>
        </is>
      </c>
      <c r="L41" s="12" t="inlineStr">
        <is>
          <t>Boulder, CO</t>
        </is>
      </c>
      <c r="M41" s="12" t="inlineStr">
        <is>
          <t>DOE, NYSERDA, CEC, NSF</t>
        </is>
      </c>
      <c r="N41" s="12" t="inlineStr">
        <is>
          <t>Clean Tech Startups, Utilities, Research Consortia</t>
        </is>
      </c>
      <c r="O41" s="12" t="inlineStr">
        <is>
          <t>$500M+ federal and state grant applications supported</t>
        </is>
      </c>
      <c r="P41" s="12" t="inlineStr">
        <is>
          <t>Manual FOA decomposition and multi-database research consuming 20+ hours per proposal</t>
        </is>
      </c>
      <c r="Q41" s="12" t="inlineStr">
        <is>
          <t>10-second FOA shredder, 4-part PDF blueprints, and 5-stage capital continuum ledgers</t>
        </is>
      </c>
      <c r="R41" s="12" t="inlineStr">
        <is>
          <t>5-10 seats ($7,500 - $15,000/mo flat rate @ $1,500/seat)</t>
        </is>
      </c>
      <c r="S41" s="15" t="n">
        <v>20000</v>
      </c>
      <c r="T41" s="21" t="inlineStr">
        <is>
          <t>Not Contacted</t>
        </is>
      </c>
      <c r="U41" s="13" t="inlineStr"/>
      <c r="V41" s="13" t="inlineStr"/>
      <c r="W41" s="13" t="inlineStr"/>
      <c r="X41" s="13" t="inlineStr"/>
      <c r="Y41" s="22" t="inlineStr">
        <is>
          <t>Hi Terry,
I've been following The Cadmus Group's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The Cadmus Group's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41" s="12" t="inlineStr"/>
    </row>
    <row r="42">
      <c r="A42" s="23" t="n">
        <v>38</v>
      </c>
      <c r="B42" s="24" t="inlineStr">
        <is>
          <t>Laura Schauer</t>
        </is>
      </c>
      <c r="C42" s="25" t="inlineStr">
        <is>
          <t>Laura</t>
        </is>
      </c>
      <c r="D42" s="25" t="inlineStr">
        <is>
          <t>Senior VP, Energy Evaluation</t>
        </is>
      </c>
      <c r="E42" s="25" t="inlineStr">
        <is>
          <t>Tier 2: Practice Leader / Director (Budget Approver)</t>
        </is>
      </c>
      <c r="F42" s="24" t="inlineStr">
        <is>
          <t>The Cadmus Group</t>
        </is>
      </c>
      <c r="G42" s="25" t="inlineStr">
        <is>
          <t>https://energyadvisory.com</t>
        </is>
      </c>
      <c r="H42" s="25" t="inlineStr">
        <is>
          <t>Clean Tech &amp; Energy Advisory</t>
        </is>
      </c>
      <c r="I42" s="25" t="inlineStr">
        <is>
          <t>20-100</t>
        </is>
      </c>
      <c r="J42" s="25" t="inlineStr">
        <is>
          <t>laura.schauer@cadmusgroup.com</t>
        </is>
      </c>
      <c r="K42" s="25" t="inlineStr">
        <is>
          <t>(608) 285-8000</t>
        </is>
      </c>
      <c r="L42" s="25" t="inlineStr">
        <is>
          <t>Madison, WI</t>
        </is>
      </c>
      <c r="M42" s="25" t="inlineStr">
        <is>
          <t>DOE, NYSERDA, CEC, NSF</t>
        </is>
      </c>
      <c r="N42" s="25" t="inlineStr">
        <is>
          <t>Clean Tech Startups, Utilities, Research Consortia</t>
        </is>
      </c>
      <c r="O42" s="25" t="inlineStr">
        <is>
          <t>$500M+ federal and state grant applications supported</t>
        </is>
      </c>
      <c r="P42" s="25" t="inlineStr">
        <is>
          <t>Manual FOA decomposition and multi-database research consuming 20+ hours per proposal</t>
        </is>
      </c>
      <c r="Q42" s="25" t="inlineStr">
        <is>
          <t>10-second FOA shredder, 4-part PDF blueprints, and 5-stage capital continuum ledgers</t>
        </is>
      </c>
      <c r="R42" s="25" t="inlineStr">
        <is>
          <t>5-10 seats ($7,500 - $15,000/mo flat rate @ $1,500/seat)</t>
        </is>
      </c>
      <c r="S42" s="26" t="n">
        <v>20000</v>
      </c>
      <c r="T42" s="23" t="inlineStr">
        <is>
          <t>Not Contacted</t>
        </is>
      </c>
      <c r="U42" s="27" t="inlineStr"/>
      <c r="V42" s="27" t="inlineStr"/>
      <c r="W42" s="27" t="inlineStr"/>
      <c r="X42" s="27" t="inlineStr"/>
      <c r="Y42" s="28" t="inlineStr">
        <is>
          <t>Hi Laura,
I've been following The Cadmus Group's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The Cadmus Group's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42" s="25" t="inlineStr"/>
    </row>
    <row r="43">
      <c r="A43" s="21" t="n">
        <v>39</v>
      </c>
      <c r="B43" s="11" t="inlineStr">
        <is>
          <t>Dickon Pinner</t>
        </is>
      </c>
      <c r="C43" s="12" t="inlineStr">
        <is>
          <t>Dickon</t>
        </is>
      </c>
      <c r="D43" s="12" t="inlineStr">
        <is>
          <t>Senior Partner &amp; Global Leader, Sustainability</t>
        </is>
      </c>
      <c r="E43" s="12" t="inlineStr">
        <is>
          <t>Tier 1: Senior Executive / Partner (Decision Maker)</t>
        </is>
      </c>
      <c r="F43" s="11" t="inlineStr">
        <is>
          <t>McKinsey &amp; Company</t>
        </is>
      </c>
      <c r="G43" s="12" t="inlineStr">
        <is>
          <t>https://energyadvisory.com</t>
        </is>
      </c>
      <c r="H43" s="12" t="inlineStr">
        <is>
          <t>Clean Tech &amp; Energy Advisory</t>
        </is>
      </c>
      <c r="I43" s="12" t="inlineStr">
        <is>
          <t>20-100</t>
        </is>
      </c>
      <c r="J43" s="12" t="inlineStr">
        <is>
          <t>dickon_pinner@mckinsey.com</t>
        </is>
      </c>
      <c r="K43" s="12" t="inlineStr">
        <is>
          <t>(415) 981-0250</t>
        </is>
      </c>
      <c r="L43" s="12" t="inlineStr">
        <is>
          <t>San Francisco, CA</t>
        </is>
      </c>
      <c r="M43" s="12" t="inlineStr">
        <is>
          <t>DOE, NYSERDA, CEC, NSF</t>
        </is>
      </c>
      <c r="N43" s="12" t="inlineStr">
        <is>
          <t>Clean Tech Startups, Utilities, Research Consortia</t>
        </is>
      </c>
      <c r="O43" s="12" t="inlineStr">
        <is>
          <t>$500M+ federal and state grant applications supported</t>
        </is>
      </c>
      <c r="P43" s="12" t="inlineStr">
        <is>
          <t>Manual FOA decomposition and multi-database research consuming 20+ hours per proposal</t>
        </is>
      </c>
      <c r="Q43" s="12" t="inlineStr">
        <is>
          <t>10-second FOA shredder, 4-part PDF blueprints, and 5-stage capital continuum ledgers</t>
        </is>
      </c>
      <c r="R43" s="12" t="inlineStr">
        <is>
          <t>5-10 seats ($7,500 - $15,000/mo flat rate @ $1,500/seat)</t>
        </is>
      </c>
      <c r="S43" s="15" t="n">
        <v>20000</v>
      </c>
      <c r="T43" s="21" t="inlineStr">
        <is>
          <t>Not Contacted</t>
        </is>
      </c>
      <c r="U43" s="13" t="inlineStr"/>
      <c r="V43" s="13" t="inlineStr"/>
      <c r="W43" s="13" t="inlineStr"/>
      <c r="X43" s="13" t="inlineStr"/>
      <c r="Y43" s="22" t="inlineStr">
        <is>
          <t>Hi Dickon,
I've been following McKinsey &amp; Company's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McKinsey &amp; Company's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43" s="12" t="inlineStr"/>
    </row>
    <row r="44">
      <c r="A44" s="23" t="n">
        <v>40</v>
      </c>
      <c r="B44" s="24" t="inlineStr">
        <is>
          <t>Humayun Tai</t>
        </is>
      </c>
      <c r="C44" s="25" t="inlineStr">
        <is>
          <t>Humayun</t>
        </is>
      </c>
      <c r="D44" s="25" t="inlineStr">
        <is>
          <t>Senior Partner, Energy Practice</t>
        </is>
      </c>
      <c r="E44" s="25" t="inlineStr">
        <is>
          <t>Tier 1: Senior Executive / Partner (Decision Maker)</t>
        </is>
      </c>
      <c r="F44" s="24" t="inlineStr">
        <is>
          <t>McKinsey &amp; Company</t>
        </is>
      </c>
      <c r="G44" s="25" t="inlineStr">
        <is>
          <t>https://energyadvisory.com</t>
        </is>
      </c>
      <c r="H44" s="25" t="inlineStr">
        <is>
          <t>Clean Tech &amp; Energy Advisory</t>
        </is>
      </c>
      <c r="I44" s="25" t="inlineStr">
        <is>
          <t>20-100</t>
        </is>
      </c>
      <c r="J44" s="25" t="inlineStr">
        <is>
          <t>humayun_tai@mckinsey.com</t>
        </is>
      </c>
      <c r="K44" s="25" t="inlineStr">
        <is>
          <t>(212) 446-7000</t>
        </is>
      </c>
      <c r="L44" s="25" t="inlineStr">
        <is>
          <t>New York, NY</t>
        </is>
      </c>
      <c r="M44" s="25" t="inlineStr">
        <is>
          <t>DOE, NYSERDA, CEC, NSF</t>
        </is>
      </c>
      <c r="N44" s="25" t="inlineStr">
        <is>
          <t>Clean Tech Startups, Utilities, Research Consortia</t>
        </is>
      </c>
      <c r="O44" s="25" t="inlineStr">
        <is>
          <t>$500M+ federal and state grant applications supported</t>
        </is>
      </c>
      <c r="P44" s="25" t="inlineStr">
        <is>
          <t>Manual FOA decomposition and multi-database research consuming 20+ hours per proposal</t>
        </is>
      </c>
      <c r="Q44" s="25" t="inlineStr">
        <is>
          <t>10-second FOA shredder, 4-part PDF blueprints, and 5-stage capital continuum ledgers</t>
        </is>
      </c>
      <c r="R44" s="25" t="inlineStr">
        <is>
          <t>5-10 seats ($7,500 - $15,000/mo flat rate @ $1,500/seat)</t>
        </is>
      </c>
      <c r="S44" s="26" t="n">
        <v>20000</v>
      </c>
      <c r="T44" s="23" t="inlineStr">
        <is>
          <t>Not Contacted</t>
        </is>
      </c>
      <c r="U44" s="27" t="inlineStr"/>
      <c r="V44" s="27" t="inlineStr"/>
      <c r="W44" s="27" t="inlineStr"/>
      <c r="X44" s="27" t="inlineStr"/>
      <c r="Y44" s="28" t="inlineStr">
        <is>
          <t>Hi Humayun,
I've been following McKinsey &amp; Company's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McKinsey &amp; Company's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44" s="25" t="inlineStr"/>
    </row>
    <row r="45">
      <c r="A45" s="21" t="n">
        <v>41</v>
      </c>
      <c r="B45" s="11" t="inlineStr">
        <is>
          <t>David Frankel</t>
        </is>
      </c>
      <c r="C45" s="12" t="inlineStr">
        <is>
          <t>David</t>
        </is>
      </c>
      <c r="D45" s="12" t="inlineStr">
        <is>
          <t>Partner, Climate Tech</t>
        </is>
      </c>
      <c r="E45" s="12" t="inlineStr">
        <is>
          <t>Tier 1: Senior Executive / Partner (Decision Maker)</t>
        </is>
      </c>
      <c r="F45" s="11" t="inlineStr">
        <is>
          <t>McKinsey &amp; Company</t>
        </is>
      </c>
      <c r="G45" s="12" t="inlineStr">
        <is>
          <t>https://energyadvisory.com</t>
        </is>
      </c>
      <c r="H45" s="12" t="inlineStr">
        <is>
          <t>Clean Tech &amp; Energy Advisory</t>
        </is>
      </c>
      <c r="I45" s="12" t="inlineStr">
        <is>
          <t>20-100</t>
        </is>
      </c>
      <c r="J45" s="12" t="inlineStr">
        <is>
          <t>david_frankel@mckinsey.com</t>
        </is>
      </c>
      <c r="K45" s="12" t="inlineStr">
        <is>
          <t>(617) 499-1000</t>
        </is>
      </c>
      <c r="L45" s="12" t="inlineStr">
        <is>
          <t>Boston, MA</t>
        </is>
      </c>
      <c r="M45" s="12" t="inlineStr">
        <is>
          <t>DOE, NYSERDA, CEC, NSF</t>
        </is>
      </c>
      <c r="N45" s="12" t="inlineStr">
        <is>
          <t>Clean Tech Startups, Utilities, Research Consortia</t>
        </is>
      </c>
      <c r="O45" s="12" t="inlineStr">
        <is>
          <t>$500M+ federal and state grant applications supported</t>
        </is>
      </c>
      <c r="P45" s="12" t="inlineStr">
        <is>
          <t>Manual FOA decomposition and multi-database research consuming 20+ hours per proposal</t>
        </is>
      </c>
      <c r="Q45" s="12" t="inlineStr">
        <is>
          <t>10-second FOA shredder, 4-part PDF blueprints, and 5-stage capital continuum ledgers</t>
        </is>
      </c>
      <c r="R45" s="12" t="inlineStr">
        <is>
          <t>5-10 seats ($7,500 - $15,000/mo flat rate @ $1,500/seat)</t>
        </is>
      </c>
      <c r="S45" s="15" t="n">
        <v>20000</v>
      </c>
      <c r="T45" s="21" t="inlineStr">
        <is>
          <t>Not Contacted</t>
        </is>
      </c>
      <c r="U45" s="13" t="inlineStr"/>
      <c r="V45" s="13" t="inlineStr"/>
      <c r="W45" s="13" t="inlineStr"/>
      <c r="X45" s="13" t="inlineStr"/>
      <c r="Y45" s="22" t="inlineStr">
        <is>
          <t>Hi David,
I've been following McKinsey &amp; Company's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McKinsey &amp; Company's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45" s="12" t="inlineStr"/>
    </row>
    <row r="46">
      <c r="A46" s="23" t="n">
        <v>42</v>
      </c>
      <c r="B46" s="24" t="inlineStr">
        <is>
          <t>Pooja Goyal</t>
        </is>
      </c>
      <c r="C46" s="25" t="inlineStr">
        <is>
          <t>Pooja</t>
        </is>
      </c>
      <c r="D46" s="25" t="inlineStr">
        <is>
          <t>Partner &amp; Global Head, Renewable Energy</t>
        </is>
      </c>
      <c r="E46" s="25" t="inlineStr">
        <is>
          <t>Tier 1: Senior Executive / Partner (Decision Maker)</t>
        </is>
      </c>
      <c r="F46" s="24" t="inlineStr">
        <is>
          <t>The Carlyle Group</t>
        </is>
      </c>
      <c r="G46" s="25" t="inlineStr">
        <is>
          <t>https://energyadvisory.com</t>
        </is>
      </c>
      <c r="H46" s="25" t="inlineStr">
        <is>
          <t>Clean Tech &amp; Energy Advisory</t>
        </is>
      </c>
      <c r="I46" s="25" t="inlineStr">
        <is>
          <t>20-100</t>
        </is>
      </c>
      <c r="J46" s="25" t="inlineStr">
        <is>
          <t>pooja.goyal@carlyle.com</t>
        </is>
      </c>
      <c r="K46" s="25" t="inlineStr">
        <is>
          <t>(212) 813-4900</t>
        </is>
      </c>
      <c r="L46" s="25" t="inlineStr">
        <is>
          <t>New York, NY</t>
        </is>
      </c>
      <c r="M46" s="25" t="inlineStr">
        <is>
          <t>DOE, NYSERDA, CEC, NSF</t>
        </is>
      </c>
      <c r="N46" s="25" t="inlineStr">
        <is>
          <t>Clean Tech Startups, Utilities, Research Consortia</t>
        </is>
      </c>
      <c r="O46" s="25" t="inlineStr">
        <is>
          <t>$500M+ federal and state grant applications supported</t>
        </is>
      </c>
      <c r="P46" s="25" t="inlineStr">
        <is>
          <t>Manual FOA decomposition and multi-database research consuming 20+ hours per proposal</t>
        </is>
      </c>
      <c r="Q46" s="25" t="inlineStr">
        <is>
          <t>10-second FOA shredder, 4-part PDF blueprints, and 5-stage capital continuum ledgers</t>
        </is>
      </c>
      <c r="R46" s="25" t="inlineStr">
        <is>
          <t>5-10 seats ($7,500 - $15,000/mo flat rate @ $1,500/seat)</t>
        </is>
      </c>
      <c r="S46" s="26" t="n">
        <v>20000</v>
      </c>
      <c r="T46" s="23" t="inlineStr">
        <is>
          <t>Not Contacted</t>
        </is>
      </c>
      <c r="U46" s="27" t="inlineStr"/>
      <c r="V46" s="27" t="inlineStr"/>
      <c r="W46" s="27" t="inlineStr"/>
      <c r="X46" s="27" t="inlineStr"/>
      <c r="Y46" s="28" t="inlineStr">
        <is>
          <t>Hi Pooja,
I've been following The Carlyle Group's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The Carlyle Group's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46" s="25" t="inlineStr"/>
    </row>
    <row r="47">
      <c r="A47" s="21" t="n">
        <v>43</v>
      </c>
      <c r="B47" s="11" t="inlineStr">
        <is>
          <t>Rob West</t>
        </is>
      </c>
      <c r="C47" s="12" t="inlineStr">
        <is>
          <t>Rob</t>
        </is>
      </c>
      <c r="D47" s="12" t="inlineStr">
        <is>
          <t>Founder &amp; CEO</t>
        </is>
      </c>
      <c r="E47" s="12" t="inlineStr">
        <is>
          <t>Tier 1: Senior Executive / Partner (Decision Maker)</t>
        </is>
      </c>
      <c r="F47" s="11" t="inlineStr">
        <is>
          <t>Thunder Said Energy</t>
        </is>
      </c>
      <c r="G47" s="12" t="inlineStr">
        <is>
          <t>https://energyadvisory.com</t>
        </is>
      </c>
      <c r="H47" s="12" t="inlineStr">
        <is>
          <t>Clean Tech &amp; Energy Advisory</t>
        </is>
      </c>
      <c r="I47" s="12" t="inlineStr">
        <is>
          <t>20-100</t>
        </is>
      </c>
      <c r="J47" s="12" t="inlineStr">
        <is>
          <t>rob.west@thundersaidenergy.com</t>
        </is>
      </c>
      <c r="K47" s="12" t="inlineStr">
        <is>
          <t>(212) 658-0050</t>
        </is>
      </c>
      <c r="L47" s="12" t="inlineStr">
        <is>
          <t>New York, NY</t>
        </is>
      </c>
      <c r="M47" s="12" t="inlineStr">
        <is>
          <t>DOE, NYSERDA, CEC, NSF</t>
        </is>
      </c>
      <c r="N47" s="12" t="inlineStr">
        <is>
          <t>Clean Tech Startups, Utilities, Research Consortia</t>
        </is>
      </c>
      <c r="O47" s="12" t="inlineStr">
        <is>
          <t>$500M+ federal and state grant applications supported</t>
        </is>
      </c>
      <c r="P47" s="12" t="inlineStr">
        <is>
          <t>Manual FOA decomposition and multi-database research consuming 20+ hours per proposal</t>
        </is>
      </c>
      <c r="Q47" s="12" t="inlineStr">
        <is>
          <t>10-second FOA shredder, 4-part PDF blueprints, and 5-stage capital continuum ledgers</t>
        </is>
      </c>
      <c r="R47" s="12" t="inlineStr">
        <is>
          <t>5-10 seats ($7,500 - $15,000/mo flat rate @ $1,500/seat)</t>
        </is>
      </c>
      <c r="S47" s="15" t="n">
        <v>20000</v>
      </c>
      <c r="T47" s="21" t="inlineStr">
        <is>
          <t>Not Contacted</t>
        </is>
      </c>
      <c r="U47" s="13" t="inlineStr"/>
      <c r="V47" s="13" t="inlineStr"/>
      <c r="W47" s="13" t="inlineStr"/>
      <c r="X47" s="13" t="inlineStr"/>
      <c r="Y47" s="22" t="inlineStr">
        <is>
          <t>Hi Rob,
I've been following Thunder Said Energy's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Thunder Said Energy's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47" s="12" t="inlineStr"/>
    </row>
    <row r="48">
      <c r="A48" s="23" t="n">
        <v>44</v>
      </c>
      <c r="B48" s="24" t="inlineStr">
        <is>
          <t>Philippe Dunsky</t>
        </is>
      </c>
      <c r="C48" s="25" t="inlineStr">
        <is>
          <t>Philippe</t>
        </is>
      </c>
      <c r="D48" s="25" t="inlineStr">
        <is>
          <t>President</t>
        </is>
      </c>
      <c r="E48" s="25" t="inlineStr">
        <is>
          <t>Tier 1: Senior Executive / Partner (Decision Maker)</t>
        </is>
      </c>
      <c r="F48" s="24" t="inlineStr">
        <is>
          <t>Dunsky Energy + Climate Advisors</t>
        </is>
      </c>
      <c r="G48" s="25" t="inlineStr">
        <is>
          <t>https://energyadvisory.com</t>
        </is>
      </c>
      <c r="H48" s="25" t="inlineStr">
        <is>
          <t>Clean Tech &amp; Energy Advisory</t>
        </is>
      </c>
      <c r="I48" s="25" t="inlineStr">
        <is>
          <t>20-100</t>
        </is>
      </c>
      <c r="J48" s="25" t="inlineStr">
        <is>
          <t>philippe@dunsky.com</t>
        </is>
      </c>
      <c r="K48" s="25" t="inlineStr">
        <is>
          <t>(514) 504-9030</t>
        </is>
      </c>
      <c r="L48" s="25" t="inlineStr">
        <is>
          <t>Montreal / Boston</t>
        </is>
      </c>
      <c r="M48" s="25" t="inlineStr">
        <is>
          <t>DOE, NYSERDA, CEC, NSF</t>
        </is>
      </c>
      <c r="N48" s="25" t="inlineStr">
        <is>
          <t>Clean Tech Startups, Utilities, Research Consortia</t>
        </is>
      </c>
      <c r="O48" s="25" t="inlineStr">
        <is>
          <t>$500M+ federal and state grant applications supported</t>
        </is>
      </c>
      <c r="P48" s="25" t="inlineStr">
        <is>
          <t>Manual FOA decomposition and multi-database research consuming 20+ hours per proposal</t>
        </is>
      </c>
      <c r="Q48" s="25" t="inlineStr">
        <is>
          <t>10-second FOA shredder, 4-part PDF blueprints, and 5-stage capital continuum ledgers</t>
        </is>
      </c>
      <c r="R48" s="25" t="inlineStr">
        <is>
          <t>5-10 seats ($7,500 - $15,000/mo flat rate @ $1,500/seat)</t>
        </is>
      </c>
      <c r="S48" s="26" t="n">
        <v>20000</v>
      </c>
      <c r="T48" s="23" t="inlineStr">
        <is>
          <t>Not Contacted</t>
        </is>
      </c>
      <c r="U48" s="27" t="inlineStr"/>
      <c r="V48" s="27" t="inlineStr"/>
      <c r="W48" s="27" t="inlineStr"/>
      <c r="X48" s="27" t="inlineStr"/>
      <c r="Y48" s="28" t="inlineStr">
        <is>
          <t>Hi Philippe,
I've been following Dunsky Energy + Climate Advisors's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Dunsky Energy + Climate Advisors's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48" s="25" t="inlineStr"/>
    </row>
    <row r="49">
      <c r="A49" s="21" t="n">
        <v>45</v>
      </c>
      <c r="B49" s="11" t="inlineStr">
        <is>
          <t>Jeff Perlman</t>
        </is>
      </c>
      <c r="C49" s="12" t="inlineStr">
        <is>
          <t>Jeff</t>
        </is>
      </c>
      <c r="D49" s="12" t="inlineStr">
        <is>
          <t>CEO &amp; Founder</t>
        </is>
      </c>
      <c r="E49" s="12" t="inlineStr">
        <is>
          <t>Tier 1: Senior Executive / Partner (Decision Maker)</t>
        </is>
      </c>
      <c r="F49" s="11" t="inlineStr">
        <is>
          <t>Bright Power</t>
        </is>
      </c>
      <c r="G49" s="12" t="inlineStr">
        <is>
          <t>https://energyadvisory.com</t>
        </is>
      </c>
      <c r="H49" s="12" t="inlineStr">
        <is>
          <t>Clean Tech &amp; Energy Advisory</t>
        </is>
      </c>
      <c r="I49" s="12" t="inlineStr">
        <is>
          <t>20-100</t>
        </is>
      </c>
      <c r="J49" s="12" t="inlineStr">
        <is>
          <t>jperlman@brightpower.com</t>
        </is>
      </c>
      <c r="K49" s="12" t="inlineStr">
        <is>
          <t>(212) 807-1700</t>
        </is>
      </c>
      <c r="L49" s="12" t="inlineStr">
        <is>
          <t>New York, NY</t>
        </is>
      </c>
      <c r="M49" s="12" t="inlineStr">
        <is>
          <t>DOE, NYSERDA, CEC, NSF</t>
        </is>
      </c>
      <c r="N49" s="12" t="inlineStr">
        <is>
          <t>Clean Tech Startups, Utilities, Research Consortia</t>
        </is>
      </c>
      <c r="O49" s="12" t="inlineStr">
        <is>
          <t>$500M+ federal and state grant applications supported</t>
        </is>
      </c>
      <c r="P49" s="12" t="inlineStr">
        <is>
          <t>Manual FOA decomposition and multi-database research consuming 20+ hours per proposal</t>
        </is>
      </c>
      <c r="Q49" s="12" t="inlineStr">
        <is>
          <t>10-second FOA shredder, 4-part PDF blueprints, and 5-stage capital continuum ledgers</t>
        </is>
      </c>
      <c r="R49" s="12" t="inlineStr">
        <is>
          <t>5-10 seats ($7,500 - $15,000/mo flat rate @ $1,500/seat)</t>
        </is>
      </c>
      <c r="S49" s="15" t="n">
        <v>20000</v>
      </c>
      <c r="T49" s="21" t="inlineStr">
        <is>
          <t>Not Contacted</t>
        </is>
      </c>
      <c r="U49" s="13" t="inlineStr"/>
      <c r="V49" s="13" t="inlineStr"/>
      <c r="W49" s="13" t="inlineStr"/>
      <c r="X49" s="13" t="inlineStr"/>
      <c r="Y49" s="22" t="inlineStr">
        <is>
          <t>Hi Jeff,
I've been following Bright Power's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Bright Power's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49" s="12" t="inlineStr"/>
    </row>
    <row r="50">
      <c r="A50" s="23" t="n">
        <v>46</v>
      </c>
      <c r="B50" s="24" t="inlineStr">
        <is>
          <t>Jon Powers</t>
        </is>
      </c>
      <c r="C50" s="25" t="inlineStr">
        <is>
          <t>Jon</t>
        </is>
      </c>
      <c r="D50" s="25" t="inlineStr">
        <is>
          <t>Co-Founder &amp; President</t>
        </is>
      </c>
      <c r="E50" s="25" t="inlineStr">
        <is>
          <t>Tier 1: Senior Executive / Partner (Decision Maker)</t>
        </is>
      </c>
      <c r="F50" s="24" t="inlineStr">
        <is>
          <t>CleanCapital</t>
        </is>
      </c>
      <c r="G50" s="25" t="inlineStr">
        <is>
          <t>https://energyadvisory.com</t>
        </is>
      </c>
      <c r="H50" s="25" t="inlineStr">
        <is>
          <t>Clean Tech &amp; Energy Advisory</t>
        </is>
      </c>
      <c r="I50" s="25" t="inlineStr">
        <is>
          <t>20-100</t>
        </is>
      </c>
      <c r="J50" s="25" t="inlineStr">
        <is>
          <t>jpowers@cleancapital.com</t>
        </is>
      </c>
      <c r="K50" s="25" t="inlineStr">
        <is>
          <t>(212) 933-9115</t>
        </is>
      </c>
      <c r="L50" s="25" t="inlineStr">
        <is>
          <t>New York, NY</t>
        </is>
      </c>
      <c r="M50" s="25" t="inlineStr">
        <is>
          <t>DOE, NYSERDA, CEC, NSF</t>
        </is>
      </c>
      <c r="N50" s="25" t="inlineStr">
        <is>
          <t>Clean Tech Startups, Utilities, Research Consortia</t>
        </is>
      </c>
      <c r="O50" s="25" t="inlineStr">
        <is>
          <t>$500M+ federal and state grant applications supported</t>
        </is>
      </c>
      <c r="P50" s="25" t="inlineStr">
        <is>
          <t>Manual FOA decomposition and multi-database research consuming 20+ hours per proposal</t>
        </is>
      </c>
      <c r="Q50" s="25" t="inlineStr">
        <is>
          <t>10-second FOA shredder, 4-part PDF blueprints, and 5-stage capital continuum ledgers</t>
        </is>
      </c>
      <c r="R50" s="25" t="inlineStr">
        <is>
          <t>5-10 seats ($7,500 - $15,000/mo flat rate @ $1,500/seat)</t>
        </is>
      </c>
      <c r="S50" s="26" t="n">
        <v>20000</v>
      </c>
      <c r="T50" s="23" t="inlineStr">
        <is>
          <t>Not Contacted</t>
        </is>
      </c>
      <c r="U50" s="27" t="inlineStr"/>
      <c r="V50" s="27" t="inlineStr"/>
      <c r="W50" s="27" t="inlineStr"/>
      <c r="X50" s="27" t="inlineStr"/>
      <c r="Y50" s="28" t="inlineStr">
        <is>
          <t>Hi Jon,
I've been following CleanCapital's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CleanCapital's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50" s="25" t="inlineStr"/>
    </row>
    <row r="51">
      <c r="A51" s="21" t="n">
        <v>47</v>
      </c>
      <c r="B51" s="11" t="inlineStr">
        <is>
          <t>Thomas King</t>
        </is>
      </c>
      <c r="C51" s="12" t="inlineStr">
        <is>
          <t>Thomas</t>
        </is>
      </c>
      <c r="D51" s="12" t="inlineStr">
        <is>
          <t>Managing Director</t>
        </is>
      </c>
      <c r="E51" s="12" t="inlineStr">
        <is>
          <t>Tier 1: Senior Executive / Partner (Decision Maker)</t>
        </is>
      </c>
      <c r="F51" s="11" t="inlineStr">
        <is>
          <t>Energy Capital Partners</t>
        </is>
      </c>
      <c r="G51" s="12" t="inlineStr">
        <is>
          <t>https://energyadvisory.com</t>
        </is>
      </c>
      <c r="H51" s="12" t="inlineStr">
        <is>
          <t>Clean Tech &amp; Energy Advisory</t>
        </is>
      </c>
      <c r="I51" s="12" t="inlineStr">
        <is>
          <t>20-100</t>
        </is>
      </c>
      <c r="J51" s="12" t="inlineStr">
        <is>
          <t>tking@ecpartners.com</t>
        </is>
      </c>
      <c r="K51" s="12" t="inlineStr">
        <is>
          <t>(973) 671-6100</t>
        </is>
      </c>
      <c r="L51" s="12" t="inlineStr">
        <is>
          <t>Summit, NJ</t>
        </is>
      </c>
      <c r="M51" s="12" t="inlineStr">
        <is>
          <t>DOE, NYSERDA, CEC, NSF</t>
        </is>
      </c>
      <c r="N51" s="12" t="inlineStr">
        <is>
          <t>Clean Tech Startups, Utilities, Research Consortia</t>
        </is>
      </c>
      <c r="O51" s="12" t="inlineStr">
        <is>
          <t>$500M+ federal and state grant applications supported</t>
        </is>
      </c>
      <c r="P51" s="12" t="inlineStr">
        <is>
          <t>Manual FOA decomposition and multi-database research consuming 20+ hours per proposal</t>
        </is>
      </c>
      <c r="Q51" s="12" t="inlineStr">
        <is>
          <t>10-second FOA shredder, 4-part PDF blueprints, and 5-stage capital continuum ledgers</t>
        </is>
      </c>
      <c r="R51" s="12" t="inlineStr">
        <is>
          <t>5-10 seats ($7,500 - $15,000/mo flat rate @ $1,500/seat)</t>
        </is>
      </c>
      <c r="S51" s="15" t="n">
        <v>20000</v>
      </c>
      <c r="T51" s="21" t="inlineStr">
        <is>
          <t>Not Contacted</t>
        </is>
      </c>
      <c r="U51" s="13" t="inlineStr"/>
      <c r="V51" s="13" t="inlineStr"/>
      <c r="W51" s="13" t="inlineStr"/>
      <c r="X51" s="13" t="inlineStr"/>
      <c r="Y51" s="22" t="inlineStr">
        <is>
          <t>Hi Thomas,
I've been following Energy Capital Partners's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Energy Capital Partners's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51" s="12" t="inlineStr"/>
    </row>
    <row r="52">
      <c r="A52" s="23" t="n">
        <v>48</v>
      </c>
      <c r="B52" s="24" t="inlineStr">
        <is>
          <t>Dan Goldman</t>
        </is>
      </c>
      <c r="C52" s="25" t="inlineStr">
        <is>
          <t>Dan</t>
        </is>
      </c>
      <c r="D52" s="25" t="inlineStr">
        <is>
          <t>Managing Partner</t>
        </is>
      </c>
      <c r="E52" s="25" t="inlineStr">
        <is>
          <t>Tier 1: Senior Executive / Partner (Decision Maker)</t>
        </is>
      </c>
      <c r="F52" s="24" t="inlineStr">
        <is>
          <t>Clean Energy Ventures</t>
        </is>
      </c>
      <c r="G52" s="25" t="inlineStr">
        <is>
          <t>https://energyadvisory.com</t>
        </is>
      </c>
      <c r="H52" s="25" t="inlineStr">
        <is>
          <t>Clean Tech &amp; Energy Advisory</t>
        </is>
      </c>
      <c r="I52" s="25" t="inlineStr">
        <is>
          <t>20-100</t>
        </is>
      </c>
      <c r="J52" s="25" t="inlineStr">
        <is>
          <t>dgoldman@cleanenergyventures.com</t>
        </is>
      </c>
      <c r="K52" s="25" t="inlineStr">
        <is>
          <t>(617) 830-1000</t>
        </is>
      </c>
      <c r="L52" s="25" t="inlineStr">
        <is>
          <t>Boston, MA</t>
        </is>
      </c>
      <c r="M52" s="25" t="inlineStr">
        <is>
          <t>DOE, NYSERDA, CEC, NSF</t>
        </is>
      </c>
      <c r="N52" s="25" t="inlineStr">
        <is>
          <t>Clean Tech Startups, Utilities, Research Consortia</t>
        </is>
      </c>
      <c r="O52" s="25" t="inlineStr">
        <is>
          <t>$500M+ federal and state grant applications supported</t>
        </is>
      </c>
      <c r="P52" s="25" t="inlineStr">
        <is>
          <t>Manual FOA decomposition and multi-database research consuming 20+ hours per proposal</t>
        </is>
      </c>
      <c r="Q52" s="25" t="inlineStr">
        <is>
          <t>10-second FOA shredder, 4-part PDF blueprints, and 5-stage capital continuum ledgers</t>
        </is>
      </c>
      <c r="R52" s="25" t="inlineStr">
        <is>
          <t>5-10 seats ($7,500 - $15,000/mo flat rate @ $1,500/seat)</t>
        </is>
      </c>
      <c r="S52" s="26" t="n">
        <v>20000</v>
      </c>
      <c r="T52" s="23" t="inlineStr">
        <is>
          <t>Not Contacted</t>
        </is>
      </c>
      <c r="U52" s="27" t="inlineStr"/>
      <c r="V52" s="27" t="inlineStr"/>
      <c r="W52" s="27" t="inlineStr"/>
      <c r="X52" s="27" t="inlineStr"/>
      <c r="Y52" s="28" t="inlineStr">
        <is>
          <t>Hi Dan,
I've been following Clean Energy Ventures's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Clean Energy Ventures's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52" s="25" t="inlineStr"/>
    </row>
    <row r="53">
      <c r="A53" s="21" t="n">
        <v>49</v>
      </c>
      <c r="B53" s="11" t="inlineStr">
        <is>
          <t>Temple Fennell</t>
        </is>
      </c>
      <c r="C53" s="12" t="inlineStr">
        <is>
          <t>Temple</t>
        </is>
      </c>
      <c r="D53" s="12" t="inlineStr">
        <is>
          <t>Managing Partner</t>
        </is>
      </c>
      <c r="E53" s="12" t="inlineStr">
        <is>
          <t>Tier 1: Senior Executive / Partner (Decision Maker)</t>
        </is>
      </c>
      <c r="F53" s="11" t="inlineStr">
        <is>
          <t>Clean Energy Ventures</t>
        </is>
      </c>
      <c r="G53" s="12" t="inlineStr">
        <is>
          <t>https://energyadvisory.com</t>
        </is>
      </c>
      <c r="H53" s="12" t="inlineStr">
        <is>
          <t>Clean Tech &amp; Energy Advisory</t>
        </is>
      </c>
      <c r="I53" s="12" t="inlineStr">
        <is>
          <t>20-100</t>
        </is>
      </c>
      <c r="J53" s="12" t="inlineStr">
        <is>
          <t>tfennell@cleanenergyventures.com</t>
        </is>
      </c>
      <c r="K53" s="12" t="inlineStr">
        <is>
          <t>(617) 830-1000</t>
        </is>
      </c>
      <c r="L53" s="12" t="inlineStr">
        <is>
          <t>Boston, MA</t>
        </is>
      </c>
      <c r="M53" s="12" t="inlineStr">
        <is>
          <t>DOE, NYSERDA, CEC, NSF</t>
        </is>
      </c>
      <c r="N53" s="12" t="inlineStr">
        <is>
          <t>Clean Tech Startups, Utilities, Research Consortia</t>
        </is>
      </c>
      <c r="O53" s="12" t="inlineStr">
        <is>
          <t>$500M+ federal and state grant applications supported</t>
        </is>
      </c>
      <c r="P53" s="12" t="inlineStr">
        <is>
          <t>Manual FOA decomposition and multi-database research consuming 20+ hours per proposal</t>
        </is>
      </c>
      <c r="Q53" s="12" t="inlineStr">
        <is>
          <t>10-second FOA shredder, 4-part PDF blueprints, and 5-stage capital continuum ledgers</t>
        </is>
      </c>
      <c r="R53" s="12" t="inlineStr">
        <is>
          <t>5-10 seats ($7,500 - $15,000/mo flat rate @ $1,500/seat)</t>
        </is>
      </c>
      <c r="S53" s="15" t="n">
        <v>20000</v>
      </c>
      <c r="T53" s="21" t="inlineStr">
        <is>
          <t>Not Contacted</t>
        </is>
      </c>
      <c r="U53" s="13" t="inlineStr"/>
      <c r="V53" s="13" t="inlineStr"/>
      <c r="W53" s="13" t="inlineStr"/>
      <c r="X53" s="13" t="inlineStr"/>
      <c r="Y53" s="22" t="inlineStr">
        <is>
          <t>Hi Temple,
I've been following Clean Energy Ventures's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Clean Energy Ventures's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53" s="12" t="inlineStr"/>
    </row>
    <row r="54">
      <c r="A54" s="23" t="n">
        <v>50</v>
      </c>
      <c r="B54" s="24" t="inlineStr">
        <is>
          <t>Amy Duffuor</t>
        </is>
      </c>
      <c r="C54" s="25" t="inlineStr">
        <is>
          <t>Amy</t>
        </is>
      </c>
      <c r="D54" s="25" t="inlineStr">
        <is>
          <t>General Partner</t>
        </is>
      </c>
      <c r="E54" s="25" t="inlineStr">
        <is>
          <t>Tier 1: Senior Executive / Partner (Decision Maker)</t>
        </is>
      </c>
      <c r="F54" s="24" t="inlineStr">
        <is>
          <t>Prime Impact Fund / Azolla Ventures</t>
        </is>
      </c>
      <c r="G54" s="25" t="inlineStr">
        <is>
          <t>https://energyadvisory.com</t>
        </is>
      </c>
      <c r="H54" s="25" t="inlineStr">
        <is>
          <t>Clean Tech &amp; Energy Advisory</t>
        </is>
      </c>
      <c r="I54" s="25" t="inlineStr">
        <is>
          <t>20-100</t>
        </is>
      </c>
      <c r="J54" s="25" t="inlineStr">
        <is>
          <t>amy@azollaventures.com</t>
        </is>
      </c>
      <c r="K54" s="25" t="inlineStr">
        <is>
          <t>(617) 500-4710</t>
        </is>
      </c>
      <c r="L54" s="25" t="inlineStr">
        <is>
          <t>Cambridge, MA</t>
        </is>
      </c>
      <c r="M54" s="25" t="inlineStr">
        <is>
          <t>DOE, NYSERDA, CEC, NSF</t>
        </is>
      </c>
      <c r="N54" s="25" t="inlineStr">
        <is>
          <t>Clean Tech Startups, Utilities, Research Consortia</t>
        </is>
      </c>
      <c r="O54" s="25" t="inlineStr">
        <is>
          <t>$500M+ federal and state grant applications supported</t>
        </is>
      </c>
      <c r="P54" s="25" t="inlineStr">
        <is>
          <t>Manual FOA decomposition and multi-database research consuming 20+ hours per proposal</t>
        </is>
      </c>
      <c r="Q54" s="25" t="inlineStr">
        <is>
          <t>10-second FOA shredder, 4-part PDF blueprints, and 5-stage capital continuum ledgers</t>
        </is>
      </c>
      <c r="R54" s="25" t="inlineStr">
        <is>
          <t>5-10 seats ($7,500 - $15,000/mo flat rate @ $1,500/seat)</t>
        </is>
      </c>
      <c r="S54" s="26" t="n">
        <v>20000</v>
      </c>
      <c r="T54" s="23" t="inlineStr">
        <is>
          <t>Not Contacted</t>
        </is>
      </c>
      <c r="U54" s="27" t="inlineStr"/>
      <c r="V54" s="27" t="inlineStr"/>
      <c r="W54" s="27" t="inlineStr"/>
      <c r="X54" s="27" t="inlineStr"/>
      <c r="Y54" s="28" t="inlineStr">
        <is>
          <t>Hi Amy,
I've been following Prime Impact Fund / Azolla Ventures's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Prime Impact Fund / Azolla Ventures's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54" s="25" t="inlineStr"/>
    </row>
    <row r="55">
      <c r="A55" s="21" t="n">
        <v>51</v>
      </c>
      <c r="B55" s="11" t="inlineStr">
        <is>
          <t>Colin Angevine</t>
        </is>
      </c>
      <c r="C55" s="12" t="inlineStr">
        <is>
          <t>Colin</t>
        </is>
      </c>
      <c r="D55" s="12" t="inlineStr">
        <is>
          <t>Director, Non-Dilutive Capital</t>
        </is>
      </c>
      <c r="E55" s="12" t="inlineStr">
        <is>
          <t>Tier 2: Practice Leader / Director (Budget Approver)</t>
        </is>
      </c>
      <c r="F55" s="11" t="inlineStr">
        <is>
          <t>Greentown Labs</t>
        </is>
      </c>
      <c r="G55" s="12" t="inlineStr">
        <is>
          <t>https://energyadvisory.com</t>
        </is>
      </c>
      <c r="H55" s="12" t="inlineStr">
        <is>
          <t>Clean Tech &amp; Energy Advisory</t>
        </is>
      </c>
      <c r="I55" s="12" t="inlineStr">
        <is>
          <t>20-100</t>
        </is>
      </c>
      <c r="J55" s="12" t="inlineStr">
        <is>
          <t>cangevine@greentownlabs.com</t>
        </is>
      </c>
      <c r="K55" s="12" t="inlineStr">
        <is>
          <t>(617) 440-9700</t>
        </is>
      </c>
      <c r="L55" s="12" t="inlineStr">
        <is>
          <t>Somerville, MA</t>
        </is>
      </c>
      <c r="M55" s="12" t="inlineStr">
        <is>
          <t>DOE, NYSERDA, CEC, NSF</t>
        </is>
      </c>
      <c r="N55" s="12" t="inlineStr">
        <is>
          <t>Clean Tech Startups, Utilities, Research Consortia</t>
        </is>
      </c>
      <c r="O55" s="12" t="inlineStr">
        <is>
          <t>$500M+ federal and state grant applications supported</t>
        </is>
      </c>
      <c r="P55" s="12" t="inlineStr">
        <is>
          <t>Manual FOA decomposition and multi-database research consuming 20+ hours per proposal</t>
        </is>
      </c>
      <c r="Q55" s="12" t="inlineStr">
        <is>
          <t>10-second FOA shredder, 4-part PDF blueprints, and 5-stage capital continuum ledgers</t>
        </is>
      </c>
      <c r="R55" s="12" t="inlineStr">
        <is>
          <t>5-10 seats ($7,500 - $15,000/mo flat rate @ $1,500/seat)</t>
        </is>
      </c>
      <c r="S55" s="15" t="n">
        <v>20000</v>
      </c>
      <c r="T55" s="21" t="inlineStr">
        <is>
          <t>Not Contacted</t>
        </is>
      </c>
      <c r="U55" s="13" t="inlineStr"/>
      <c r="V55" s="13" t="inlineStr"/>
      <c r="W55" s="13" t="inlineStr"/>
      <c r="X55" s="13" t="inlineStr"/>
      <c r="Y55" s="22" t="inlineStr">
        <is>
          <t>Hi Colin,
I've been following Greentown Labs's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Greentown Labs's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55" s="12" t="inlineStr"/>
    </row>
    <row r="56">
      <c r="A56" s="23" t="n">
        <v>52</v>
      </c>
      <c r="B56" s="24" t="inlineStr">
        <is>
          <t>Jason Hanna</t>
        </is>
      </c>
      <c r="C56" s="25" t="inlineStr">
        <is>
          <t>Jason</t>
        </is>
      </c>
      <c r="D56" s="25" t="inlineStr">
        <is>
          <t>Entrepreneur in Residence, Grants</t>
        </is>
      </c>
      <c r="E56" s="25" t="inlineStr">
        <is>
          <t>Tier 3: Senior Strategist / Proposal Lead (Power User)</t>
        </is>
      </c>
      <c r="F56" s="24" t="inlineStr">
        <is>
          <t>Greentown Labs</t>
        </is>
      </c>
      <c r="G56" s="25" t="inlineStr">
        <is>
          <t>https://energyadvisory.com</t>
        </is>
      </c>
      <c r="H56" s="25" t="inlineStr">
        <is>
          <t>Clean Tech &amp; Energy Advisory</t>
        </is>
      </c>
      <c r="I56" s="25" t="inlineStr">
        <is>
          <t>20-100</t>
        </is>
      </c>
      <c r="J56" s="25" t="inlineStr">
        <is>
          <t>jhanna@greentownlabs.com</t>
        </is>
      </c>
      <c r="K56" s="25" t="inlineStr">
        <is>
          <t>(617) 440-9700</t>
        </is>
      </c>
      <c r="L56" s="25" t="inlineStr">
        <is>
          <t>Somerville, MA</t>
        </is>
      </c>
      <c r="M56" s="25" t="inlineStr">
        <is>
          <t>DOE, NYSERDA, CEC, NSF</t>
        </is>
      </c>
      <c r="N56" s="25" t="inlineStr">
        <is>
          <t>Clean Tech Startups, Utilities, Research Consortia</t>
        </is>
      </c>
      <c r="O56" s="25" t="inlineStr">
        <is>
          <t>$500M+ federal and state grant applications supported</t>
        </is>
      </c>
      <c r="P56" s="25" t="inlineStr">
        <is>
          <t>Manual FOA decomposition and multi-database research consuming 20+ hours per proposal</t>
        </is>
      </c>
      <c r="Q56" s="25" t="inlineStr">
        <is>
          <t>10-second FOA shredder, 4-part PDF blueprints, and 5-stage capital continuum ledgers</t>
        </is>
      </c>
      <c r="R56" s="25" t="inlineStr">
        <is>
          <t>5-10 seats ($7,500 - $15,000/mo flat rate @ $1,500/seat)</t>
        </is>
      </c>
      <c r="S56" s="26" t="n">
        <v>20000</v>
      </c>
      <c r="T56" s="23" t="inlineStr">
        <is>
          <t>Not Contacted</t>
        </is>
      </c>
      <c r="U56" s="27" t="inlineStr"/>
      <c r="V56" s="27" t="inlineStr"/>
      <c r="W56" s="27" t="inlineStr"/>
      <c r="X56" s="27" t="inlineStr"/>
      <c r="Y56" s="28" t="inlineStr">
        <is>
          <t>Hi Jason,
I've been following Greentown Labs's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Greentown Labs's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56" s="25" t="inlineStr"/>
    </row>
    <row r="57">
      <c r="A57" s="21" t="n">
        <v>53</v>
      </c>
      <c r="B57" s="11" t="inlineStr">
        <is>
          <t>Kevin D'Agostino</t>
        </is>
      </c>
      <c r="C57" s="12" t="inlineStr">
        <is>
          <t>Kevin</t>
        </is>
      </c>
      <c r="D57" s="12" t="inlineStr">
        <is>
          <t>Head of Government Funding Practice</t>
        </is>
      </c>
      <c r="E57" s="12" t="inlineStr">
        <is>
          <t>Tier 2: Practice Leader / Director (Budget Approver)</t>
        </is>
      </c>
      <c r="F57" s="11" t="inlineStr">
        <is>
          <t>Momentum</t>
        </is>
      </c>
      <c r="G57" s="12" t="inlineStr">
        <is>
          <t>https://buildmomentum.io</t>
        </is>
      </c>
      <c r="H57" s="12" t="inlineStr">
        <is>
          <t>Dedicated Clean Tech Grant Writing &amp; Project Deployment</t>
        </is>
      </c>
      <c r="I57" s="12" t="inlineStr">
        <is>
          <t>40-80</t>
        </is>
      </c>
      <c r="J57" s="12" t="inlineStr">
        <is>
          <t>kevin@momentum.com</t>
        </is>
      </c>
      <c r="K57" s="12" t="inlineStr">
        <is>
          <t>(916) 459-4053</t>
        </is>
      </c>
      <c r="L57" s="12" t="inlineStr">
        <is>
          <t>Sacramento, CA</t>
        </is>
      </c>
      <c r="M57" s="12" t="inlineStr">
        <is>
          <t>CEC EPIC, CARB, DOE (OCED, EERE), BAAQMD, Port Authorities</t>
        </is>
      </c>
      <c r="N57" s="12" t="inlineStr">
        <is>
          <t>Zero-Emission Heavy Duty, EV Fleet Charging, Clean Ports, Microgrids</t>
        </is>
      </c>
      <c r="O57" s="12" t="inlineStr">
        <is>
          <t>$1B+ in clean tech grants won for clients</t>
        </is>
      </c>
      <c r="P57" s="12" t="inlineStr">
        <is>
          <t>Writing dozens of complex multi-partner CEC and DOE grant applications every quarter under tight filing deadlines</t>
        </is>
      </c>
      <c r="Q57" s="12" t="inlineStr">
        <is>
          <t>FOA shredding in 10 seconds, automated submission volume checklists, and historical winner benchmarking</t>
        </is>
      </c>
      <c r="R57" s="12" t="inlineStr">
        <is>
          <t>5-10 seats ($7,500 - $15,000/mo flat rate @ $1,500/seat)</t>
        </is>
      </c>
      <c r="S57" s="15" t="n">
        <v>20000</v>
      </c>
      <c r="T57" s="21" t="inlineStr">
        <is>
          <t>Not Contacted</t>
        </is>
      </c>
      <c r="U57" s="13" t="inlineStr"/>
      <c r="V57" s="13" t="inlineStr"/>
      <c r="W57" s="13" t="inlineStr"/>
      <c r="X57" s="13" t="inlineStr"/>
      <c r="Y57" s="22" t="inlineStr">
        <is>
          <t>Hi Kevin,
I've been following Momentum's impressive work advising clean tech and hardtech clients across CEC EPIC.
We recently launched the Energy Innovation Terminal (terminal.aixenergy.io) by AIxEnergy, an intelligence platform designed specifically for clean energy grant writing and technical consultancies.
Three capabilities that Momentum's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57" s="12" t="inlineStr"/>
    </row>
    <row r="58">
      <c r="A58" s="23" t="n">
        <v>54</v>
      </c>
      <c r="B58" s="24" t="inlineStr">
        <is>
          <t>Matt Bowers</t>
        </is>
      </c>
      <c r="C58" s="25" t="inlineStr">
        <is>
          <t>Matt</t>
        </is>
      </c>
      <c r="D58" s="25" t="inlineStr">
        <is>
          <t>Managing Director</t>
        </is>
      </c>
      <c r="E58" s="25" t="inlineStr">
        <is>
          <t>Tier 1: Senior Executive / Partner (Decision Maker)</t>
        </is>
      </c>
      <c r="F58" s="24" t="inlineStr">
        <is>
          <t>Momentum</t>
        </is>
      </c>
      <c r="G58" s="25" t="inlineStr">
        <is>
          <t>https://buildmomentum.io</t>
        </is>
      </c>
      <c r="H58" s="25" t="inlineStr">
        <is>
          <t>Dedicated Clean Tech Grant Writing &amp; Project Deployment</t>
        </is>
      </c>
      <c r="I58" s="25" t="inlineStr">
        <is>
          <t>40-80</t>
        </is>
      </c>
      <c r="J58" s="25" t="inlineStr">
        <is>
          <t>matt@momentum.com</t>
        </is>
      </c>
      <c r="K58" s="25" t="inlineStr">
        <is>
          <t>(916) 459-4053</t>
        </is>
      </c>
      <c r="L58" s="25" t="inlineStr">
        <is>
          <t>Sacramento, CA</t>
        </is>
      </c>
      <c r="M58" s="25" t="inlineStr">
        <is>
          <t>CEC EPIC, CARB, DOE (OCED, EERE), BAAQMD, Port Authorities</t>
        </is>
      </c>
      <c r="N58" s="25" t="inlineStr">
        <is>
          <t>Zero-Emission Heavy Duty, EV Fleet Charging, Clean Ports, Microgrids</t>
        </is>
      </c>
      <c r="O58" s="25" t="inlineStr">
        <is>
          <t>$1B+ in clean tech grants won for clients</t>
        </is>
      </c>
      <c r="P58" s="25" t="inlineStr">
        <is>
          <t>Writing dozens of complex multi-partner CEC and DOE grant applications every quarter under tight filing deadlines</t>
        </is>
      </c>
      <c r="Q58" s="25" t="inlineStr">
        <is>
          <t>FOA shredding in 10 seconds, automated submission volume checklists, and historical winner benchmarking</t>
        </is>
      </c>
      <c r="R58" s="25" t="inlineStr">
        <is>
          <t>5-10 seats ($7,500 - $15,000/mo flat rate @ $1,500/seat)</t>
        </is>
      </c>
      <c r="S58" s="26" t="n">
        <v>20000</v>
      </c>
      <c r="T58" s="23" t="inlineStr">
        <is>
          <t>Not Contacted</t>
        </is>
      </c>
      <c r="U58" s="27" t="inlineStr"/>
      <c r="V58" s="27" t="inlineStr"/>
      <c r="W58" s="27" t="inlineStr"/>
      <c r="X58" s="27" t="inlineStr"/>
      <c r="Y58" s="28" t="inlineStr">
        <is>
          <t>Hi Matt,
I've been following Momentum's impressive work advising clean tech and hardtech clients across CEC EPIC.
We recently launched the Energy Innovation Terminal (terminal.aixenergy.io) by AIxEnergy, an intelligence platform designed specifically for clean energy grant writing and technical consultancies.
Three capabilities that Momentum's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58" s="25" t="inlineStr"/>
    </row>
    <row r="59">
      <c r="A59" s="21" t="n">
        <v>55</v>
      </c>
      <c r="B59" s="11" t="inlineStr">
        <is>
          <t>Jonathan Liles</t>
        </is>
      </c>
      <c r="C59" s="12" t="inlineStr">
        <is>
          <t>Jonathan</t>
        </is>
      </c>
      <c r="D59" s="12" t="inlineStr">
        <is>
          <t>Senior Director, Proposal Strategy</t>
        </is>
      </c>
      <c r="E59" s="12" t="inlineStr">
        <is>
          <t>Tier 2: Practice Leader / Director (Budget Approver)</t>
        </is>
      </c>
      <c r="F59" s="11" t="inlineStr">
        <is>
          <t>Momentum</t>
        </is>
      </c>
      <c r="G59" s="12" t="inlineStr">
        <is>
          <t>https://buildmomentum.io</t>
        </is>
      </c>
      <c r="H59" s="12" t="inlineStr">
        <is>
          <t>Dedicated Clean Tech Grant Writing &amp; Project Deployment</t>
        </is>
      </c>
      <c r="I59" s="12" t="inlineStr">
        <is>
          <t>40-80</t>
        </is>
      </c>
      <c r="J59" s="12" t="inlineStr">
        <is>
          <t>jliles@momentum.com</t>
        </is>
      </c>
      <c r="K59" s="12" t="inlineStr">
        <is>
          <t>(916) 459-4053</t>
        </is>
      </c>
      <c r="L59" s="12" t="inlineStr">
        <is>
          <t>Sacramento, CA</t>
        </is>
      </c>
      <c r="M59" s="12" t="inlineStr">
        <is>
          <t>CEC EPIC, CARB, DOE (OCED, EERE), BAAQMD, Port Authorities</t>
        </is>
      </c>
      <c r="N59" s="12" t="inlineStr">
        <is>
          <t>Zero-Emission Heavy Duty, EV Fleet Charging, Clean Ports, Microgrids</t>
        </is>
      </c>
      <c r="O59" s="12" t="inlineStr">
        <is>
          <t>$1B+ in clean tech grants won for clients</t>
        </is>
      </c>
      <c r="P59" s="12" t="inlineStr">
        <is>
          <t>Writing dozens of complex multi-partner CEC and DOE grant applications every quarter under tight filing deadlines</t>
        </is>
      </c>
      <c r="Q59" s="12" t="inlineStr">
        <is>
          <t>FOA shredding in 10 seconds, automated submission volume checklists, and historical winner benchmarking</t>
        </is>
      </c>
      <c r="R59" s="12" t="inlineStr">
        <is>
          <t>5-10 seats ($7,500 - $15,000/mo flat rate @ $1,500/seat)</t>
        </is>
      </c>
      <c r="S59" s="15" t="n">
        <v>20000</v>
      </c>
      <c r="T59" s="21" t="inlineStr">
        <is>
          <t>Not Contacted</t>
        </is>
      </c>
      <c r="U59" s="13" t="inlineStr"/>
      <c r="V59" s="13" t="inlineStr"/>
      <c r="W59" s="13" t="inlineStr"/>
      <c r="X59" s="13" t="inlineStr"/>
      <c r="Y59" s="22" t="inlineStr">
        <is>
          <t>Hi Jonathan,
I've been following Momentum's impressive work advising clean tech and hardtech clients across CEC EPIC.
We recently launched the Energy Innovation Terminal (terminal.aixenergy.io) by AIxEnergy, an intelligence platform designed specifically for clean energy grant writing and technical consultancies.
Three capabilities that Momentum's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59" s="12" t="inlineStr"/>
    </row>
    <row r="60">
      <c r="A60" s="23" t="n">
        <v>56</v>
      </c>
      <c r="B60" s="24" t="inlineStr">
        <is>
          <t>Eliad Shmuel</t>
        </is>
      </c>
      <c r="C60" s="25" t="inlineStr">
        <is>
          <t>Eliad</t>
        </is>
      </c>
      <c r="D60" s="25" t="inlineStr">
        <is>
          <t>VP Client Operations</t>
        </is>
      </c>
      <c r="E60" s="25" t="inlineStr">
        <is>
          <t>Tier 2: Practice Leader / Director (Budget Approver)</t>
        </is>
      </c>
      <c r="F60" s="24" t="inlineStr">
        <is>
          <t>Eagle Point Funding</t>
        </is>
      </c>
      <c r="G60" s="25" t="inlineStr">
        <is>
          <t>https://eaglepointfunding.com</t>
        </is>
      </c>
      <c r="H60" s="25" t="inlineStr">
        <is>
          <t>Deep Tech &amp; Non-Dilutive Funding Consultancy</t>
        </is>
      </c>
      <c r="I60" s="25" t="inlineStr">
        <is>
          <t>50-100</t>
        </is>
      </c>
      <c r="J60" s="25" t="inlineStr">
        <is>
          <t>eliad@eaglepointfunding.com</t>
        </is>
      </c>
      <c r="K60" s="25" t="inlineStr">
        <is>
          <t>(646) 787-8260</t>
        </is>
      </c>
      <c r="L60" s="25" t="inlineStr">
        <is>
          <t>New York, NY</t>
        </is>
      </c>
      <c r="M60" s="25" t="inlineStr">
        <is>
          <t>DOD (DARPA, AFWERX), DOE (ARPA-E, EERE), NSF, NASA, NIH</t>
        </is>
      </c>
      <c r="N60" s="25" t="inlineStr">
        <is>
          <t>Seed to Series B Hardware, Energy Storage, Advanced Materials, AI/Grid</t>
        </is>
      </c>
      <c r="O60" s="25" t="inlineStr">
        <is>
          <t>$2.5B+ secured across 4,000+ proposals</t>
        </is>
      </c>
      <c r="P60" s="25" t="inlineStr">
        <is>
          <t>High proposal throughput with fast turnarounds required across diverse federal agencies</t>
        </is>
      </c>
      <c r="Q60" s="25" t="inlineStr">
        <is>
          <t>Instant FOA parsing, agency scoring rubrics, and automated fatal flaw checks</t>
        </is>
      </c>
      <c r="R60" s="25" t="inlineStr">
        <is>
          <t>5-10 seats ($7,500 - $15,000/mo flat rate @ $1,500/seat)</t>
        </is>
      </c>
      <c r="S60" s="26" t="n">
        <v>20000</v>
      </c>
      <c r="T60" s="23" t="inlineStr">
        <is>
          <t>Not Contacted</t>
        </is>
      </c>
      <c r="U60" s="27" t="inlineStr"/>
      <c r="V60" s="27" t="inlineStr"/>
      <c r="W60" s="27" t="inlineStr"/>
      <c r="X60" s="27" t="inlineStr"/>
      <c r="Y60" s="28" t="inlineStr">
        <is>
          <t>Hi Eliad,
I've been following Eagle Point Funding's impressive work advising clean tech and hardtech clients across DOD (DARPA.
We recently launched the Energy Innovation Terminal (terminal.aixenergy.io) by AIxEnergy, an intelligence platform designed specifically for clean energy grant writing and technical consultancies.
Three capabilities that Eagle Point Funding's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60" s="25" t="inlineStr"/>
    </row>
    <row r="61">
      <c r="A61" s="21" t="n">
        <v>57</v>
      </c>
      <c r="B61" s="11" t="inlineStr">
        <is>
          <t>Lior Zaidner</t>
        </is>
      </c>
      <c r="C61" s="12" t="inlineStr">
        <is>
          <t>Lior</t>
        </is>
      </c>
      <c r="D61" s="12" t="inlineStr">
        <is>
          <t>Director of Business Development</t>
        </is>
      </c>
      <c r="E61" s="12" t="inlineStr">
        <is>
          <t>Tier 2: Practice Leader / Director (Budget Approver)</t>
        </is>
      </c>
      <c r="F61" s="11" t="inlineStr">
        <is>
          <t>Eagle Point Funding</t>
        </is>
      </c>
      <c r="G61" s="12" t="inlineStr">
        <is>
          <t>https://eaglepointfunding.com</t>
        </is>
      </c>
      <c r="H61" s="12" t="inlineStr">
        <is>
          <t>Deep Tech &amp; Non-Dilutive Funding Consultancy</t>
        </is>
      </c>
      <c r="I61" s="12" t="inlineStr">
        <is>
          <t>50-100</t>
        </is>
      </c>
      <c r="J61" s="12" t="inlineStr">
        <is>
          <t>lior@eaglepointfunding.com</t>
        </is>
      </c>
      <c r="K61" s="12" t="inlineStr">
        <is>
          <t>(646) 787-8260</t>
        </is>
      </c>
      <c r="L61" s="12" t="inlineStr">
        <is>
          <t>New York, NY</t>
        </is>
      </c>
      <c r="M61" s="12" t="inlineStr">
        <is>
          <t>DOD (DARPA, AFWERX), DOE (ARPA-E, EERE), NSF, NASA, NIH</t>
        </is>
      </c>
      <c r="N61" s="12" t="inlineStr">
        <is>
          <t>Seed to Series B Hardware, Energy Storage, Advanced Materials, AI/Grid</t>
        </is>
      </c>
      <c r="O61" s="12" t="inlineStr">
        <is>
          <t>$2.5B+ secured across 4,000+ proposals</t>
        </is>
      </c>
      <c r="P61" s="12" t="inlineStr">
        <is>
          <t>High proposal throughput with fast turnarounds required across diverse federal agencies</t>
        </is>
      </c>
      <c r="Q61" s="12" t="inlineStr">
        <is>
          <t>Instant FOA parsing, agency scoring rubrics, and automated fatal flaw checks</t>
        </is>
      </c>
      <c r="R61" s="12" t="inlineStr">
        <is>
          <t>5-10 seats ($7,500 - $15,000/mo flat rate @ $1,500/seat)</t>
        </is>
      </c>
      <c r="S61" s="15" t="n">
        <v>20000</v>
      </c>
      <c r="T61" s="21" t="inlineStr">
        <is>
          <t>Not Contacted</t>
        </is>
      </c>
      <c r="U61" s="13" t="inlineStr"/>
      <c r="V61" s="13" t="inlineStr"/>
      <c r="W61" s="13" t="inlineStr"/>
      <c r="X61" s="13" t="inlineStr"/>
      <c r="Y61" s="22" t="inlineStr">
        <is>
          <t>Hi Lior,
I've been following Eagle Point Funding's impressive work advising clean tech and hardtech clients across DOD (DARPA.
We recently launched the Energy Innovation Terminal (terminal.aixenergy.io) by AIxEnergy, an intelligence platform designed specifically for clean energy grant writing and technical consultancies.
Three capabilities that Eagle Point Funding's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61" s="12" t="inlineStr"/>
    </row>
    <row r="62">
      <c r="A62" s="23" t="n">
        <v>58</v>
      </c>
      <c r="B62" s="24" t="inlineStr">
        <is>
          <t>Michael Kogan</t>
        </is>
      </c>
      <c r="C62" s="25" t="inlineStr">
        <is>
          <t>Michael</t>
        </is>
      </c>
      <c r="D62" s="25" t="inlineStr">
        <is>
          <t>Managing Partner</t>
        </is>
      </c>
      <c r="E62" s="25" t="inlineStr">
        <is>
          <t>Tier 1: Senior Executive / Partner (Decision Maker)</t>
        </is>
      </c>
      <c r="F62" s="24" t="inlineStr">
        <is>
          <t>Eagle Point Funding</t>
        </is>
      </c>
      <c r="G62" s="25" t="inlineStr">
        <is>
          <t>https://eaglepointfunding.com</t>
        </is>
      </c>
      <c r="H62" s="25" t="inlineStr">
        <is>
          <t>Deep Tech &amp; Non-Dilutive Funding Consultancy</t>
        </is>
      </c>
      <c r="I62" s="25" t="inlineStr">
        <is>
          <t>50-100</t>
        </is>
      </c>
      <c r="J62" s="25" t="inlineStr">
        <is>
          <t>michael@eaglepointfunding.com</t>
        </is>
      </c>
      <c r="K62" s="25" t="inlineStr">
        <is>
          <t>(646) 787-8260</t>
        </is>
      </c>
      <c r="L62" s="25" t="inlineStr">
        <is>
          <t>New York, NY</t>
        </is>
      </c>
      <c r="M62" s="25" t="inlineStr">
        <is>
          <t>DOD (DARPA, AFWERX), DOE (ARPA-E, EERE), NSF, NASA, NIH</t>
        </is>
      </c>
      <c r="N62" s="25" t="inlineStr">
        <is>
          <t>Seed to Series B Hardware, Energy Storage, Advanced Materials, AI/Grid</t>
        </is>
      </c>
      <c r="O62" s="25" t="inlineStr">
        <is>
          <t>$2.5B+ secured across 4,000+ proposals</t>
        </is>
      </c>
      <c r="P62" s="25" t="inlineStr">
        <is>
          <t>High proposal throughput with fast turnarounds required across diverse federal agencies</t>
        </is>
      </c>
      <c r="Q62" s="25" t="inlineStr">
        <is>
          <t>Instant FOA parsing, agency scoring rubrics, and automated fatal flaw checks</t>
        </is>
      </c>
      <c r="R62" s="25" t="inlineStr">
        <is>
          <t>5-10 seats ($7,500 - $15,000/mo flat rate @ $1,500/seat)</t>
        </is>
      </c>
      <c r="S62" s="26" t="n">
        <v>20000</v>
      </c>
      <c r="T62" s="23" t="inlineStr">
        <is>
          <t>Not Contacted</t>
        </is>
      </c>
      <c r="U62" s="27" t="inlineStr"/>
      <c r="V62" s="27" t="inlineStr"/>
      <c r="W62" s="27" t="inlineStr"/>
      <c r="X62" s="27" t="inlineStr"/>
      <c r="Y62" s="28" t="inlineStr">
        <is>
          <t>Hi Michael,
I've been following Eagle Point Funding's impressive work advising clean tech and hardtech clients across DOD (DARPA.
We recently launched the Energy Innovation Terminal (terminal.aixenergy.io) by AIxEnergy, an intelligence platform designed specifically for clean energy grant writing and technical consultancies.
Three capabilities that Eagle Point Funding's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62" s="25" t="inlineStr"/>
    </row>
    <row r="63">
      <c r="A63" s="21" t="n">
        <v>59</v>
      </c>
      <c r="B63" s="11" t="inlineStr">
        <is>
          <t>Andrea Johanson</t>
        </is>
      </c>
      <c r="C63" s="12" t="inlineStr">
        <is>
          <t>Andrea</t>
        </is>
      </c>
      <c r="D63" s="12" t="inlineStr">
        <is>
          <t>Senior Principal Consultant</t>
        </is>
      </c>
      <c r="E63" s="12" t="inlineStr">
        <is>
          <t>Tier 1: Senior Executive / Partner (Decision Maker)</t>
        </is>
      </c>
      <c r="F63" s="11" t="inlineStr">
        <is>
          <t>BBC Entrepreneurial Training &amp; Consulting (BBCetc)</t>
        </is>
      </c>
      <c r="G63" s="12" t="inlineStr">
        <is>
          <t>https://energyadvisory.com</t>
        </is>
      </c>
      <c r="H63" s="12" t="inlineStr">
        <is>
          <t>Clean Tech &amp; Energy Advisory</t>
        </is>
      </c>
      <c r="I63" s="12" t="inlineStr">
        <is>
          <t>20-100</t>
        </is>
      </c>
      <c r="J63" s="12" t="inlineStr">
        <is>
          <t>andrea@bbcetc.com</t>
        </is>
      </c>
      <c r="K63" s="12" t="inlineStr">
        <is>
          <t>(734) 930-4800</t>
        </is>
      </c>
      <c r="L63" s="12" t="inlineStr">
        <is>
          <t>Ann Arbor, MI</t>
        </is>
      </c>
      <c r="M63" s="12" t="inlineStr">
        <is>
          <t>DOE, NYSERDA, CEC, NSF</t>
        </is>
      </c>
      <c r="N63" s="12" t="inlineStr">
        <is>
          <t>Clean Tech Startups, Utilities, Research Consortia</t>
        </is>
      </c>
      <c r="O63" s="12" t="inlineStr">
        <is>
          <t>$500M+ federal and state grant applications supported</t>
        </is>
      </c>
      <c r="P63" s="12" t="inlineStr">
        <is>
          <t>Manual FOA decomposition and multi-database research consuming 20+ hours per proposal</t>
        </is>
      </c>
      <c r="Q63" s="12" t="inlineStr">
        <is>
          <t>10-second FOA shredder, 4-part PDF blueprints, and 5-stage capital continuum ledgers</t>
        </is>
      </c>
      <c r="R63" s="12" t="inlineStr">
        <is>
          <t>5-10 seats ($7,500 - $15,000/mo flat rate @ $1,500/seat)</t>
        </is>
      </c>
      <c r="S63" s="15" t="n">
        <v>20000</v>
      </c>
      <c r="T63" s="21" t="inlineStr">
        <is>
          <t>Not Contacted</t>
        </is>
      </c>
      <c r="U63" s="13" t="inlineStr"/>
      <c r="V63" s="13" t="inlineStr"/>
      <c r="W63" s="13" t="inlineStr"/>
      <c r="X63" s="13" t="inlineStr"/>
      <c r="Y63" s="22" t="inlineStr">
        <is>
          <t>Hi Andrea,
I've been following BBC Entrepreneurial Training &amp; Consulting (BBCetc)'s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BBC Entrepreneurial Training &amp; Consulting (BBCetc)'s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63" s="12" t="inlineStr"/>
    </row>
    <row r="64">
      <c r="A64" s="23" t="n">
        <v>60</v>
      </c>
      <c r="B64" s="24" t="inlineStr">
        <is>
          <t>Shannon Bass</t>
        </is>
      </c>
      <c r="C64" s="25" t="inlineStr">
        <is>
          <t>Shannon</t>
        </is>
      </c>
      <c r="D64" s="25" t="inlineStr">
        <is>
          <t>Senior Principal Consultant</t>
        </is>
      </c>
      <c r="E64" s="25" t="inlineStr">
        <is>
          <t>Tier 1: Senior Executive / Partner (Decision Maker)</t>
        </is>
      </c>
      <c r="F64" s="24" t="inlineStr">
        <is>
          <t>BBCetc</t>
        </is>
      </c>
      <c r="G64" s="25" t="inlineStr">
        <is>
          <t>https://energyadvisory.com</t>
        </is>
      </c>
      <c r="H64" s="25" t="inlineStr">
        <is>
          <t>Clean Tech &amp; Energy Advisory</t>
        </is>
      </c>
      <c r="I64" s="25" t="inlineStr">
        <is>
          <t>20-100</t>
        </is>
      </c>
      <c r="J64" s="25" t="inlineStr">
        <is>
          <t>shannon@bbcetc.com</t>
        </is>
      </c>
      <c r="K64" s="25" t="inlineStr">
        <is>
          <t>(734) 930-4800</t>
        </is>
      </c>
      <c r="L64" s="25" t="inlineStr">
        <is>
          <t>Ann Arbor, MI</t>
        </is>
      </c>
      <c r="M64" s="25" t="inlineStr">
        <is>
          <t>DOE, NYSERDA, CEC, NSF</t>
        </is>
      </c>
      <c r="N64" s="25" t="inlineStr">
        <is>
          <t>Clean Tech Startups, Utilities, Research Consortia</t>
        </is>
      </c>
      <c r="O64" s="25" t="inlineStr">
        <is>
          <t>$500M+ federal and state grant applications supported</t>
        </is>
      </c>
      <c r="P64" s="25" t="inlineStr">
        <is>
          <t>Manual FOA decomposition and multi-database research consuming 20+ hours per proposal</t>
        </is>
      </c>
      <c r="Q64" s="25" t="inlineStr">
        <is>
          <t>10-second FOA shredder, 4-part PDF blueprints, and 5-stage capital continuum ledgers</t>
        </is>
      </c>
      <c r="R64" s="25" t="inlineStr">
        <is>
          <t>5-10 seats ($7,500 - $15,000/mo flat rate @ $1,500/seat)</t>
        </is>
      </c>
      <c r="S64" s="26" t="n">
        <v>20000</v>
      </c>
      <c r="T64" s="23" t="inlineStr">
        <is>
          <t>Not Contacted</t>
        </is>
      </c>
      <c r="U64" s="27" t="inlineStr"/>
      <c r="V64" s="27" t="inlineStr"/>
      <c r="W64" s="27" t="inlineStr"/>
      <c r="X64" s="27" t="inlineStr"/>
      <c r="Y64" s="28" t="inlineStr">
        <is>
          <t>Hi Shannon,
I've been following BBCetc's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BBCetc's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64" s="25" t="inlineStr"/>
    </row>
    <row r="65">
      <c r="A65" s="21" t="n">
        <v>61</v>
      </c>
      <c r="B65" s="11" t="inlineStr">
        <is>
          <t>Kris Bergman</t>
        </is>
      </c>
      <c r="C65" s="12" t="inlineStr">
        <is>
          <t>Kris</t>
        </is>
      </c>
      <c r="D65" s="12" t="inlineStr">
        <is>
          <t>Managing Consultant</t>
        </is>
      </c>
      <c r="E65" s="12" t="inlineStr">
        <is>
          <t>Tier 3: Senior Strategist / Proposal Lead (Power User)</t>
        </is>
      </c>
      <c r="F65" s="11" t="inlineStr">
        <is>
          <t>BBCetc</t>
        </is>
      </c>
      <c r="G65" s="12" t="inlineStr">
        <is>
          <t>https://energyadvisory.com</t>
        </is>
      </c>
      <c r="H65" s="12" t="inlineStr">
        <is>
          <t>Clean Tech &amp; Energy Advisory</t>
        </is>
      </c>
      <c r="I65" s="12" t="inlineStr">
        <is>
          <t>20-100</t>
        </is>
      </c>
      <c r="J65" s="12" t="inlineStr">
        <is>
          <t>kris@bbcetc.com</t>
        </is>
      </c>
      <c r="K65" s="12" t="inlineStr">
        <is>
          <t>(734) 930-4800</t>
        </is>
      </c>
      <c r="L65" s="12" t="inlineStr">
        <is>
          <t>Ann Arbor, MI</t>
        </is>
      </c>
      <c r="M65" s="12" t="inlineStr">
        <is>
          <t>DOE, NYSERDA, CEC, NSF</t>
        </is>
      </c>
      <c r="N65" s="12" t="inlineStr">
        <is>
          <t>Clean Tech Startups, Utilities, Research Consortia</t>
        </is>
      </c>
      <c r="O65" s="12" t="inlineStr">
        <is>
          <t>$500M+ federal and state grant applications supported</t>
        </is>
      </c>
      <c r="P65" s="12" t="inlineStr">
        <is>
          <t>Manual FOA decomposition and multi-database research consuming 20+ hours per proposal</t>
        </is>
      </c>
      <c r="Q65" s="12" t="inlineStr">
        <is>
          <t>10-second FOA shredder, 4-part PDF blueprints, and 5-stage capital continuum ledgers</t>
        </is>
      </c>
      <c r="R65" s="12" t="inlineStr">
        <is>
          <t>5-10 seats ($7,500 - $15,000/mo flat rate @ $1,500/seat)</t>
        </is>
      </c>
      <c r="S65" s="15" t="n">
        <v>20000</v>
      </c>
      <c r="T65" s="21" t="inlineStr">
        <is>
          <t>Not Contacted</t>
        </is>
      </c>
      <c r="U65" s="13" t="inlineStr"/>
      <c r="V65" s="13" t="inlineStr"/>
      <c r="W65" s="13" t="inlineStr"/>
      <c r="X65" s="13" t="inlineStr"/>
      <c r="Y65" s="22" t="inlineStr">
        <is>
          <t>Hi Kris,
I've been following BBCetc's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BBCetc's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65" s="12" t="inlineStr"/>
    </row>
    <row r="66">
      <c r="A66" s="23" t="n">
        <v>62</v>
      </c>
      <c r="B66" s="24" t="inlineStr">
        <is>
          <t>Liz Powell</t>
        </is>
      </c>
      <c r="C66" s="25" t="inlineStr">
        <is>
          <t>Liz</t>
        </is>
      </c>
      <c r="D66" s="25" t="inlineStr">
        <is>
          <t>Founder &amp; President</t>
        </is>
      </c>
      <c r="E66" s="25" t="inlineStr">
        <is>
          <t>Tier 1: Senior Executive / Partner (Decision Maker)</t>
        </is>
      </c>
      <c r="F66" s="24" t="inlineStr">
        <is>
          <t>G2G Consulting</t>
        </is>
      </c>
      <c r="G66" s="25" t="inlineStr">
        <is>
          <t>https://energyadvisory.com</t>
        </is>
      </c>
      <c r="H66" s="25" t="inlineStr">
        <is>
          <t>Clean Tech &amp; Energy Advisory</t>
        </is>
      </c>
      <c r="I66" s="25" t="inlineStr">
        <is>
          <t>20-100</t>
        </is>
      </c>
      <c r="J66" s="25" t="inlineStr">
        <is>
          <t>lpowell@g2gconsulting.com</t>
        </is>
      </c>
      <c r="K66" s="25" t="inlineStr">
        <is>
          <t>(202) 445-5655</t>
        </is>
      </c>
      <c r="L66" s="25" t="inlineStr">
        <is>
          <t>Washington, DC</t>
        </is>
      </c>
      <c r="M66" s="25" t="inlineStr">
        <is>
          <t>DOE, NYSERDA, CEC, NSF</t>
        </is>
      </c>
      <c r="N66" s="25" t="inlineStr">
        <is>
          <t>Clean Tech Startups, Utilities, Research Consortia</t>
        </is>
      </c>
      <c r="O66" s="25" t="inlineStr">
        <is>
          <t>$500M+ federal and state grant applications supported</t>
        </is>
      </c>
      <c r="P66" s="25" t="inlineStr">
        <is>
          <t>Manual FOA decomposition and multi-database research consuming 20+ hours per proposal</t>
        </is>
      </c>
      <c r="Q66" s="25" t="inlineStr">
        <is>
          <t>10-second FOA shredder, 4-part PDF blueprints, and 5-stage capital continuum ledgers</t>
        </is>
      </c>
      <c r="R66" s="25" t="inlineStr">
        <is>
          <t>5-10 seats ($7,500 - $15,000/mo flat rate @ $1,500/seat)</t>
        </is>
      </c>
      <c r="S66" s="26" t="n">
        <v>20000</v>
      </c>
      <c r="T66" s="23" t="inlineStr">
        <is>
          <t>Not Contacted</t>
        </is>
      </c>
      <c r="U66" s="27" t="inlineStr"/>
      <c r="V66" s="27" t="inlineStr"/>
      <c r="W66" s="27" t="inlineStr"/>
      <c r="X66" s="27" t="inlineStr"/>
      <c r="Y66" s="28" t="inlineStr">
        <is>
          <t>Hi Liz,
I've been following G2G Consulting's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G2G Consulting's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66" s="25" t="inlineStr"/>
    </row>
    <row r="67">
      <c r="A67" s="21" t="n">
        <v>63</v>
      </c>
      <c r="B67" s="11" t="inlineStr">
        <is>
          <t>Greg Belshe</t>
        </is>
      </c>
      <c r="C67" s="12" t="inlineStr">
        <is>
          <t>Greg</t>
        </is>
      </c>
      <c r="D67" s="12" t="inlineStr">
        <is>
          <t>Vice President, Funding Strategy</t>
        </is>
      </c>
      <c r="E67" s="12" t="inlineStr">
        <is>
          <t>Tier 1: Senior Executive / Partner (Decision Maker)</t>
        </is>
      </c>
      <c r="F67" s="11" t="inlineStr">
        <is>
          <t>G2G Consulting</t>
        </is>
      </c>
      <c r="G67" s="12" t="inlineStr">
        <is>
          <t>https://energyadvisory.com</t>
        </is>
      </c>
      <c r="H67" s="12" t="inlineStr">
        <is>
          <t>Clean Tech &amp; Energy Advisory</t>
        </is>
      </c>
      <c r="I67" s="12" t="inlineStr">
        <is>
          <t>20-100</t>
        </is>
      </c>
      <c r="J67" s="12" t="inlineStr">
        <is>
          <t>gbelshe@g2gconsulting.com</t>
        </is>
      </c>
      <c r="K67" s="12" t="inlineStr">
        <is>
          <t>(202) 445-5655</t>
        </is>
      </c>
      <c r="L67" s="12" t="inlineStr">
        <is>
          <t>Washington, DC</t>
        </is>
      </c>
      <c r="M67" s="12" t="inlineStr">
        <is>
          <t>DOE, NYSERDA, CEC, NSF</t>
        </is>
      </c>
      <c r="N67" s="12" t="inlineStr">
        <is>
          <t>Clean Tech Startups, Utilities, Research Consortia</t>
        </is>
      </c>
      <c r="O67" s="12" t="inlineStr">
        <is>
          <t>$500M+ federal and state grant applications supported</t>
        </is>
      </c>
      <c r="P67" s="12" t="inlineStr">
        <is>
          <t>Manual FOA decomposition and multi-database research consuming 20+ hours per proposal</t>
        </is>
      </c>
      <c r="Q67" s="12" t="inlineStr">
        <is>
          <t>10-second FOA shredder, 4-part PDF blueprints, and 5-stage capital continuum ledgers</t>
        </is>
      </c>
      <c r="R67" s="12" t="inlineStr">
        <is>
          <t>5-10 seats ($7,500 - $15,000/mo flat rate @ $1,500/seat)</t>
        </is>
      </c>
      <c r="S67" s="15" t="n">
        <v>20000</v>
      </c>
      <c r="T67" s="21" t="inlineStr">
        <is>
          <t>Not Contacted</t>
        </is>
      </c>
      <c r="U67" s="13" t="inlineStr"/>
      <c r="V67" s="13" t="inlineStr"/>
      <c r="W67" s="13" t="inlineStr"/>
      <c r="X67" s="13" t="inlineStr"/>
      <c r="Y67" s="22" t="inlineStr">
        <is>
          <t>Hi Greg,
I've been following G2G Consulting's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G2G Consulting's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67" s="12" t="inlineStr"/>
    </row>
    <row r="68">
      <c r="A68" s="23" t="n">
        <v>64</v>
      </c>
      <c r="B68" s="24" t="inlineStr">
        <is>
          <t>Eva Garland</t>
        </is>
      </c>
      <c r="C68" s="25" t="inlineStr">
        <is>
          <t>Eva</t>
        </is>
      </c>
      <c r="D68" s="25" t="inlineStr">
        <is>
          <t>CEO &amp; Founder</t>
        </is>
      </c>
      <c r="E68" s="25" t="inlineStr">
        <is>
          <t>Tier 1: Senior Executive / Partner (Decision Maker)</t>
        </is>
      </c>
      <c r="F68" s="24" t="inlineStr">
        <is>
          <t>Eva Garland Consulting LLC</t>
        </is>
      </c>
      <c r="G68" s="25" t="inlineStr">
        <is>
          <t>https://energyadvisory.com</t>
        </is>
      </c>
      <c r="H68" s="25" t="inlineStr">
        <is>
          <t>Clean Tech &amp; Energy Advisory</t>
        </is>
      </c>
      <c r="I68" s="25" t="inlineStr">
        <is>
          <t>20-100</t>
        </is>
      </c>
      <c r="J68" s="25" t="inlineStr">
        <is>
          <t>eva@evagarland.com</t>
        </is>
      </c>
      <c r="K68" s="25" t="inlineStr">
        <is>
          <t>(919) 825-1440</t>
        </is>
      </c>
      <c r="L68" s="25" t="inlineStr">
        <is>
          <t>Raleigh, NC</t>
        </is>
      </c>
      <c r="M68" s="25" t="inlineStr">
        <is>
          <t>DOE, NYSERDA, CEC, NSF</t>
        </is>
      </c>
      <c r="N68" s="25" t="inlineStr">
        <is>
          <t>Clean Tech Startups, Utilities, Research Consortia</t>
        </is>
      </c>
      <c r="O68" s="25" t="inlineStr">
        <is>
          <t>$500M+ federal and state grant applications supported</t>
        </is>
      </c>
      <c r="P68" s="25" t="inlineStr">
        <is>
          <t>Manual FOA decomposition and multi-database research consuming 20+ hours per proposal</t>
        </is>
      </c>
      <c r="Q68" s="25" t="inlineStr">
        <is>
          <t>10-second FOA shredder, 4-part PDF blueprints, and 5-stage capital continuum ledgers</t>
        </is>
      </c>
      <c r="R68" s="25" t="inlineStr">
        <is>
          <t>5-10 seats ($7,500 - $15,000/mo flat rate @ $1,500/seat)</t>
        </is>
      </c>
      <c r="S68" s="26" t="n">
        <v>20000</v>
      </c>
      <c r="T68" s="23" t="inlineStr">
        <is>
          <t>Not Contacted</t>
        </is>
      </c>
      <c r="U68" s="27" t="inlineStr"/>
      <c r="V68" s="27" t="inlineStr"/>
      <c r="W68" s="27" t="inlineStr"/>
      <c r="X68" s="27" t="inlineStr"/>
      <c r="Y68" s="28" t="inlineStr">
        <is>
          <t>Hi Eva,
I've been following Eva Garland Consulting LLC's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Eva Garland Consulting LLC's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68" s="25" t="inlineStr"/>
    </row>
    <row r="69">
      <c r="A69" s="21" t="n">
        <v>65</v>
      </c>
      <c r="B69" s="11" t="inlineStr">
        <is>
          <t>Bryan Garland</t>
        </is>
      </c>
      <c r="C69" s="12" t="inlineStr">
        <is>
          <t>Bryan</t>
        </is>
      </c>
      <c r="D69" s="12" t="inlineStr">
        <is>
          <t>Chief Operating Officer</t>
        </is>
      </c>
      <c r="E69" s="12" t="inlineStr">
        <is>
          <t>Tier 3: Senior Strategist / Proposal Lead (Power User)</t>
        </is>
      </c>
      <c r="F69" s="11" t="inlineStr">
        <is>
          <t>Eva Garland Consulting LLC</t>
        </is>
      </c>
      <c r="G69" s="12" t="inlineStr">
        <is>
          <t>https://energyadvisory.com</t>
        </is>
      </c>
      <c r="H69" s="12" t="inlineStr">
        <is>
          <t>Clean Tech &amp; Energy Advisory</t>
        </is>
      </c>
      <c r="I69" s="12" t="inlineStr">
        <is>
          <t>20-100</t>
        </is>
      </c>
      <c r="J69" s="12" t="inlineStr">
        <is>
          <t>bryan@evagarland.com</t>
        </is>
      </c>
      <c r="K69" s="12" t="inlineStr">
        <is>
          <t>(919) 825-1440</t>
        </is>
      </c>
      <c r="L69" s="12" t="inlineStr">
        <is>
          <t>Raleigh, NC</t>
        </is>
      </c>
      <c r="M69" s="12" t="inlineStr">
        <is>
          <t>DOE, NYSERDA, CEC, NSF</t>
        </is>
      </c>
      <c r="N69" s="12" t="inlineStr">
        <is>
          <t>Clean Tech Startups, Utilities, Research Consortia</t>
        </is>
      </c>
      <c r="O69" s="12" t="inlineStr">
        <is>
          <t>$500M+ federal and state grant applications supported</t>
        </is>
      </c>
      <c r="P69" s="12" t="inlineStr">
        <is>
          <t>Manual FOA decomposition and multi-database research consuming 20+ hours per proposal</t>
        </is>
      </c>
      <c r="Q69" s="12" t="inlineStr">
        <is>
          <t>10-second FOA shredder, 4-part PDF blueprints, and 5-stage capital continuum ledgers</t>
        </is>
      </c>
      <c r="R69" s="12" t="inlineStr">
        <is>
          <t>5-10 seats ($7,500 - $15,000/mo flat rate @ $1,500/seat)</t>
        </is>
      </c>
      <c r="S69" s="15" t="n">
        <v>20000</v>
      </c>
      <c r="T69" s="21" t="inlineStr">
        <is>
          <t>Not Contacted</t>
        </is>
      </c>
      <c r="U69" s="13" t="inlineStr"/>
      <c r="V69" s="13" t="inlineStr"/>
      <c r="W69" s="13" t="inlineStr"/>
      <c r="X69" s="13" t="inlineStr"/>
      <c r="Y69" s="22" t="inlineStr">
        <is>
          <t>Hi Bryan,
I've been following Eva Garland Consulting LLC's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Eva Garland Consulting LLC's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69" s="12" t="inlineStr"/>
    </row>
    <row r="70">
      <c r="A70" s="23" t="n">
        <v>66</v>
      </c>
      <c r="B70" s="24" t="inlineStr">
        <is>
          <t>Katy Rood</t>
        </is>
      </c>
      <c r="C70" s="25" t="inlineStr">
        <is>
          <t>Katy</t>
        </is>
      </c>
      <c r="D70" s="25" t="inlineStr">
        <is>
          <t>Director of Grants Management</t>
        </is>
      </c>
      <c r="E70" s="25" t="inlineStr">
        <is>
          <t>Tier 2: Practice Leader / Director (Budget Approver)</t>
        </is>
      </c>
      <c r="F70" s="24" t="inlineStr">
        <is>
          <t>Eva Garland Consulting LLC</t>
        </is>
      </c>
      <c r="G70" s="25" t="inlineStr">
        <is>
          <t>https://energyadvisory.com</t>
        </is>
      </c>
      <c r="H70" s="25" t="inlineStr">
        <is>
          <t>Clean Tech &amp; Energy Advisory</t>
        </is>
      </c>
      <c r="I70" s="25" t="inlineStr">
        <is>
          <t>20-100</t>
        </is>
      </c>
      <c r="J70" s="25" t="inlineStr">
        <is>
          <t>krood@evagarland.com</t>
        </is>
      </c>
      <c r="K70" s="25" t="inlineStr">
        <is>
          <t>(919) 825-1440</t>
        </is>
      </c>
      <c r="L70" s="25" t="inlineStr">
        <is>
          <t>Raleigh, NC</t>
        </is>
      </c>
      <c r="M70" s="25" t="inlineStr">
        <is>
          <t>DOE, NYSERDA, CEC, NSF</t>
        </is>
      </c>
      <c r="N70" s="25" t="inlineStr">
        <is>
          <t>Clean Tech Startups, Utilities, Research Consortia</t>
        </is>
      </c>
      <c r="O70" s="25" t="inlineStr">
        <is>
          <t>$500M+ federal and state grant applications supported</t>
        </is>
      </c>
      <c r="P70" s="25" t="inlineStr">
        <is>
          <t>Manual FOA decomposition and multi-database research consuming 20+ hours per proposal</t>
        </is>
      </c>
      <c r="Q70" s="25" t="inlineStr">
        <is>
          <t>10-second FOA shredder, 4-part PDF blueprints, and 5-stage capital continuum ledgers</t>
        </is>
      </c>
      <c r="R70" s="25" t="inlineStr">
        <is>
          <t>5-10 seats ($7,500 - $15,000/mo flat rate @ $1,500/seat)</t>
        </is>
      </c>
      <c r="S70" s="26" t="n">
        <v>20000</v>
      </c>
      <c r="T70" s="23" t="inlineStr">
        <is>
          <t>Not Contacted</t>
        </is>
      </c>
      <c r="U70" s="27" t="inlineStr"/>
      <c r="V70" s="27" t="inlineStr"/>
      <c r="W70" s="27" t="inlineStr"/>
      <c r="X70" s="27" t="inlineStr"/>
      <c r="Y70" s="28" t="inlineStr">
        <is>
          <t>Hi Katy,
I've been following Eva Garland Consulting LLC's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Eva Garland Consulting LLC's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70" s="25" t="inlineStr"/>
    </row>
    <row r="71">
      <c r="A71" s="21" t="n">
        <v>67</v>
      </c>
      <c r="B71" s="11" t="inlineStr">
        <is>
          <t>Dan Myers</t>
        </is>
      </c>
      <c r="C71" s="12" t="inlineStr">
        <is>
          <t>Dan</t>
        </is>
      </c>
      <c r="D71" s="12" t="inlineStr">
        <is>
          <t>Managing Director, Energy Practice</t>
        </is>
      </c>
      <c r="E71" s="12" t="inlineStr">
        <is>
          <t>Tier 1: Senior Executive / Partner (Decision Maker)</t>
        </is>
      </c>
      <c r="F71" s="11" t="inlineStr">
        <is>
          <t>Hanover Research</t>
        </is>
      </c>
      <c r="G71" s="12" t="inlineStr">
        <is>
          <t>https://energyadvisory.com</t>
        </is>
      </c>
      <c r="H71" s="12" t="inlineStr">
        <is>
          <t>Clean Tech &amp; Energy Advisory</t>
        </is>
      </c>
      <c r="I71" s="12" t="inlineStr">
        <is>
          <t>20-100</t>
        </is>
      </c>
      <c r="J71" s="12" t="inlineStr">
        <is>
          <t>dmyers@hanoverresearch.com</t>
        </is>
      </c>
      <c r="K71" s="12" t="inlineStr">
        <is>
          <t>(202) 559-0050</t>
        </is>
      </c>
      <c r="L71" s="12" t="inlineStr">
        <is>
          <t>Arlington, VA</t>
        </is>
      </c>
      <c r="M71" s="12" t="inlineStr">
        <is>
          <t>DOE, NYSERDA, CEC, NSF</t>
        </is>
      </c>
      <c r="N71" s="12" t="inlineStr">
        <is>
          <t>Clean Tech Startups, Utilities, Research Consortia</t>
        </is>
      </c>
      <c r="O71" s="12" t="inlineStr">
        <is>
          <t>$500M+ federal and state grant applications supported</t>
        </is>
      </c>
      <c r="P71" s="12" t="inlineStr">
        <is>
          <t>Manual FOA decomposition and multi-database research consuming 20+ hours per proposal</t>
        </is>
      </c>
      <c r="Q71" s="12" t="inlineStr">
        <is>
          <t>10-second FOA shredder, 4-part PDF blueprints, and 5-stage capital continuum ledgers</t>
        </is>
      </c>
      <c r="R71" s="12" t="inlineStr">
        <is>
          <t>5-10 seats ($7,500 - $15,000/mo flat rate @ $1,500/seat)</t>
        </is>
      </c>
      <c r="S71" s="15" t="n">
        <v>20000</v>
      </c>
      <c r="T71" s="21" t="inlineStr">
        <is>
          <t>Not Contacted</t>
        </is>
      </c>
      <c r="U71" s="13" t="inlineStr"/>
      <c r="V71" s="13" t="inlineStr"/>
      <c r="W71" s="13" t="inlineStr"/>
      <c r="X71" s="13" t="inlineStr"/>
      <c r="Y71" s="22" t="inlineStr">
        <is>
          <t>Hi Dan,
I've been following Hanover Research's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Hanover Research's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71" s="12" t="inlineStr"/>
    </row>
    <row r="72">
      <c r="A72" s="23" t="n">
        <v>68</v>
      </c>
      <c r="B72" s="24" t="inlineStr">
        <is>
          <t>Sarah Bendoraitis</t>
        </is>
      </c>
      <c r="C72" s="25" t="inlineStr">
        <is>
          <t>Sarah</t>
        </is>
      </c>
      <c r="D72" s="25" t="inlineStr">
        <is>
          <t>Senior Director, Proposal Support</t>
        </is>
      </c>
      <c r="E72" s="25" t="inlineStr">
        <is>
          <t>Tier 2: Practice Leader / Director (Budget Approver)</t>
        </is>
      </c>
      <c r="F72" s="24" t="inlineStr">
        <is>
          <t>Hanover Research</t>
        </is>
      </c>
      <c r="G72" s="25" t="inlineStr">
        <is>
          <t>https://energyadvisory.com</t>
        </is>
      </c>
      <c r="H72" s="25" t="inlineStr">
        <is>
          <t>Clean Tech &amp; Energy Advisory</t>
        </is>
      </c>
      <c r="I72" s="25" t="inlineStr">
        <is>
          <t>20-100</t>
        </is>
      </c>
      <c r="J72" s="25" t="inlineStr">
        <is>
          <t>sbendoraitis@hanoverresearch.com</t>
        </is>
      </c>
      <c r="K72" s="25" t="inlineStr">
        <is>
          <t>(202) 559-0050</t>
        </is>
      </c>
      <c r="L72" s="25" t="inlineStr">
        <is>
          <t>Arlington, VA</t>
        </is>
      </c>
      <c r="M72" s="25" t="inlineStr">
        <is>
          <t>DOE, NYSERDA, CEC, NSF</t>
        </is>
      </c>
      <c r="N72" s="25" t="inlineStr">
        <is>
          <t>Clean Tech Startups, Utilities, Research Consortia</t>
        </is>
      </c>
      <c r="O72" s="25" t="inlineStr">
        <is>
          <t>$500M+ federal and state grant applications supported</t>
        </is>
      </c>
      <c r="P72" s="25" t="inlineStr">
        <is>
          <t>Manual FOA decomposition and multi-database research consuming 20+ hours per proposal</t>
        </is>
      </c>
      <c r="Q72" s="25" t="inlineStr">
        <is>
          <t>10-second FOA shredder, 4-part PDF blueprints, and 5-stage capital continuum ledgers</t>
        </is>
      </c>
      <c r="R72" s="25" t="inlineStr">
        <is>
          <t>5-10 seats ($7,500 - $15,000/mo flat rate @ $1,500/seat)</t>
        </is>
      </c>
      <c r="S72" s="26" t="n">
        <v>20000</v>
      </c>
      <c r="T72" s="23" t="inlineStr">
        <is>
          <t>Not Contacted</t>
        </is>
      </c>
      <c r="U72" s="27" t="inlineStr"/>
      <c r="V72" s="27" t="inlineStr"/>
      <c r="W72" s="27" t="inlineStr"/>
      <c r="X72" s="27" t="inlineStr"/>
      <c r="Y72" s="28" t="inlineStr">
        <is>
          <t>Hi Sarah,
I've been following Hanover Research's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Hanover Research's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72" s="25" t="inlineStr"/>
    </row>
    <row r="73">
      <c r="A73" s="21" t="n">
        <v>69</v>
      </c>
      <c r="B73" s="11" t="inlineStr">
        <is>
          <t>Peter Fiske</t>
        </is>
      </c>
      <c r="C73" s="12" t="inlineStr">
        <is>
          <t>Peter</t>
        </is>
      </c>
      <c r="D73" s="12" t="inlineStr">
        <is>
          <t>Executive Director</t>
        </is>
      </c>
      <c r="E73" s="12" t="inlineStr">
        <is>
          <t>Tier 2: Practice Leader / Director (Budget Approver)</t>
        </is>
      </c>
      <c r="F73" s="11" t="inlineStr">
        <is>
          <t>NAWI (National Alliance for Water Innovation)</t>
        </is>
      </c>
      <c r="G73" s="12" t="inlineStr">
        <is>
          <t>https://energyadvisory.com</t>
        </is>
      </c>
      <c r="H73" s="12" t="inlineStr">
        <is>
          <t>Clean Tech &amp; Energy Advisory</t>
        </is>
      </c>
      <c r="I73" s="12" t="inlineStr">
        <is>
          <t>20-100</t>
        </is>
      </c>
      <c r="J73" s="12" t="inlineStr">
        <is>
          <t>pfiske@lbl.gov</t>
        </is>
      </c>
      <c r="K73" s="12" t="inlineStr">
        <is>
          <t>(510) 486-4000</t>
        </is>
      </c>
      <c r="L73" s="12" t="inlineStr">
        <is>
          <t>Berkeley, CA</t>
        </is>
      </c>
      <c r="M73" s="12" t="inlineStr">
        <is>
          <t>DOE, NYSERDA, CEC, NSF</t>
        </is>
      </c>
      <c r="N73" s="12" t="inlineStr">
        <is>
          <t>Clean Tech Startups, Utilities, Research Consortia</t>
        </is>
      </c>
      <c r="O73" s="12" t="inlineStr">
        <is>
          <t>$500M+ federal and state grant applications supported</t>
        </is>
      </c>
      <c r="P73" s="12" t="inlineStr">
        <is>
          <t>Manual FOA decomposition and multi-database research consuming 20+ hours per proposal</t>
        </is>
      </c>
      <c r="Q73" s="12" t="inlineStr">
        <is>
          <t>10-second FOA shredder, 4-part PDF blueprints, and 5-stage capital continuum ledgers</t>
        </is>
      </c>
      <c r="R73" s="12" t="inlineStr">
        <is>
          <t>5-10 seats ($7,500 - $15,000/mo flat rate @ $1,500/seat)</t>
        </is>
      </c>
      <c r="S73" s="15" t="n">
        <v>20000</v>
      </c>
      <c r="T73" s="21" t="inlineStr">
        <is>
          <t>Not Contacted</t>
        </is>
      </c>
      <c r="U73" s="13" t="inlineStr"/>
      <c r="V73" s="13" t="inlineStr"/>
      <c r="W73" s="13" t="inlineStr"/>
      <c r="X73" s="13" t="inlineStr"/>
      <c r="Y73" s="22" t="inlineStr">
        <is>
          <t>Hi Peter,
I've been following NAWI (National Alliance for Water Innovation)'s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NAWI (National Alliance for Water Innovation)'s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73" s="12" t="inlineStr"/>
    </row>
    <row r="74">
      <c r="A74" s="23" t="n">
        <v>70</v>
      </c>
      <c r="B74" s="24" t="inlineStr">
        <is>
          <t>Dickon Hall</t>
        </is>
      </c>
      <c r="C74" s="25" t="inlineStr">
        <is>
          <t>Dickon</t>
        </is>
      </c>
      <c r="D74" s="25" t="inlineStr">
        <is>
          <t>Managing Partner</t>
        </is>
      </c>
      <c r="E74" s="25" t="inlineStr">
        <is>
          <t>Tier 1: Senior Executive / Partner (Decision Maker)</t>
        </is>
      </c>
      <c r="F74" s="24" t="inlineStr">
        <is>
          <t>FreeMind Group</t>
        </is>
      </c>
      <c r="G74" s="25" t="inlineStr">
        <is>
          <t>https://energyadvisory.com</t>
        </is>
      </c>
      <c r="H74" s="25" t="inlineStr">
        <is>
          <t>Clean Tech &amp; Energy Advisory</t>
        </is>
      </c>
      <c r="I74" s="25" t="inlineStr">
        <is>
          <t>20-100</t>
        </is>
      </c>
      <c r="J74" s="25" t="inlineStr">
        <is>
          <t>dickon@freemindconsultants.com</t>
        </is>
      </c>
      <c r="K74" s="25" t="inlineStr">
        <is>
          <t>(617) 648-9340</t>
        </is>
      </c>
      <c r="L74" s="25" t="inlineStr">
        <is>
          <t>Boston, MA</t>
        </is>
      </c>
      <c r="M74" s="25" t="inlineStr">
        <is>
          <t>DOE, NYSERDA, CEC, NSF</t>
        </is>
      </c>
      <c r="N74" s="25" t="inlineStr">
        <is>
          <t>Clean Tech Startups, Utilities, Research Consortia</t>
        </is>
      </c>
      <c r="O74" s="25" t="inlineStr">
        <is>
          <t>$500M+ federal and state grant applications supported</t>
        </is>
      </c>
      <c r="P74" s="25" t="inlineStr">
        <is>
          <t>Manual FOA decomposition and multi-database research consuming 20+ hours per proposal</t>
        </is>
      </c>
      <c r="Q74" s="25" t="inlineStr">
        <is>
          <t>10-second FOA shredder, 4-part PDF blueprints, and 5-stage capital continuum ledgers</t>
        </is>
      </c>
      <c r="R74" s="25" t="inlineStr">
        <is>
          <t>5-10 seats ($7,500 - $15,000/mo flat rate @ $1,500/seat)</t>
        </is>
      </c>
      <c r="S74" s="26" t="n">
        <v>20000</v>
      </c>
      <c r="T74" s="23" t="inlineStr">
        <is>
          <t>Not Contacted</t>
        </is>
      </c>
      <c r="U74" s="27" t="inlineStr"/>
      <c r="V74" s="27" t="inlineStr"/>
      <c r="W74" s="27" t="inlineStr"/>
      <c r="X74" s="27" t="inlineStr"/>
      <c r="Y74" s="28" t="inlineStr">
        <is>
          <t>Hi Dickon,
I've been following FreeMind Group's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FreeMind Group's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74" s="25" t="inlineStr"/>
    </row>
    <row r="75">
      <c r="A75" s="21" t="n">
        <v>71</v>
      </c>
      <c r="B75" s="11" t="inlineStr">
        <is>
          <t>Joel Golan</t>
        </is>
      </c>
      <c r="C75" s="12" t="inlineStr">
        <is>
          <t>Joel</t>
        </is>
      </c>
      <c r="D75" s="12" t="inlineStr">
        <is>
          <t>Director of Client Development</t>
        </is>
      </c>
      <c r="E75" s="12" t="inlineStr">
        <is>
          <t>Tier 2: Practice Leader / Director (Budget Approver)</t>
        </is>
      </c>
      <c r="F75" s="11" t="inlineStr">
        <is>
          <t>FreeMind Group</t>
        </is>
      </c>
      <c r="G75" s="12" t="inlineStr">
        <is>
          <t>https://energyadvisory.com</t>
        </is>
      </c>
      <c r="H75" s="12" t="inlineStr">
        <is>
          <t>Clean Tech &amp; Energy Advisory</t>
        </is>
      </c>
      <c r="I75" s="12" t="inlineStr">
        <is>
          <t>20-100</t>
        </is>
      </c>
      <c r="J75" s="12" t="inlineStr">
        <is>
          <t>joel@freemindconsultants.com</t>
        </is>
      </c>
      <c r="K75" s="12" t="inlineStr">
        <is>
          <t>(617) 648-9340</t>
        </is>
      </c>
      <c r="L75" s="12" t="inlineStr">
        <is>
          <t>Boston, MA</t>
        </is>
      </c>
      <c r="M75" s="12" t="inlineStr">
        <is>
          <t>DOE, NYSERDA, CEC, NSF</t>
        </is>
      </c>
      <c r="N75" s="12" t="inlineStr">
        <is>
          <t>Clean Tech Startups, Utilities, Research Consortia</t>
        </is>
      </c>
      <c r="O75" s="12" t="inlineStr">
        <is>
          <t>$500M+ federal and state grant applications supported</t>
        </is>
      </c>
      <c r="P75" s="12" t="inlineStr">
        <is>
          <t>Manual FOA decomposition and multi-database research consuming 20+ hours per proposal</t>
        </is>
      </c>
      <c r="Q75" s="12" t="inlineStr">
        <is>
          <t>10-second FOA shredder, 4-part PDF blueprints, and 5-stage capital continuum ledgers</t>
        </is>
      </c>
      <c r="R75" s="12" t="inlineStr">
        <is>
          <t>5-10 seats ($7,500 - $15,000/mo flat rate @ $1,500/seat)</t>
        </is>
      </c>
      <c r="S75" s="15" t="n">
        <v>20000</v>
      </c>
      <c r="T75" s="21" t="inlineStr">
        <is>
          <t>Not Contacted</t>
        </is>
      </c>
      <c r="U75" s="13" t="inlineStr"/>
      <c r="V75" s="13" t="inlineStr"/>
      <c r="W75" s="13" t="inlineStr"/>
      <c r="X75" s="13" t="inlineStr"/>
      <c r="Y75" s="22" t="inlineStr">
        <is>
          <t>Hi Joel,
I've been following FreeMind Group's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FreeMind Group's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75" s="12" t="inlineStr"/>
    </row>
    <row r="76">
      <c r="A76" s="23" t="n">
        <v>72</v>
      </c>
      <c r="B76" s="24" t="inlineStr">
        <is>
          <t>Ben Rogers</t>
        </is>
      </c>
      <c r="C76" s="25" t="inlineStr">
        <is>
          <t>Ben</t>
        </is>
      </c>
      <c r="D76" s="25" t="inlineStr">
        <is>
          <t>Partner</t>
        </is>
      </c>
      <c r="E76" s="25" t="inlineStr">
        <is>
          <t>Tier 1: Senior Executive / Partner (Decision Maker)</t>
        </is>
      </c>
      <c r="F76" s="24" t="inlineStr">
        <is>
          <t>TurboSBIR</t>
        </is>
      </c>
      <c r="G76" s="25" t="inlineStr">
        <is>
          <t>https://energyadvisory.com</t>
        </is>
      </c>
      <c r="H76" s="25" t="inlineStr">
        <is>
          <t>Clean Tech &amp; Energy Advisory</t>
        </is>
      </c>
      <c r="I76" s="25" t="inlineStr">
        <is>
          <t>20-100</t>
        </is>
      </c>
      <c r="J76" s="25" t="inlineStr">
        <is>
          <t>ben@turbosbir.com</t>
        </is>
      </c>
      <c r="K76" s="25" t="inlineStr">
        <is>
          <t>(617) 383-7247</t>
        </is>
      </c>
      <c r="L76" s="25" t="inlineStr">
        <is>
          <t>Boston, MA</t>
        </is>
      </c>
      <c r="M76" s="25" t="inlineStr">
        <is>
          <t>DOE, NYSERDA, CEC, NSF</t>
        </is>
      </c>
      <c r="N76" s="25" t="inlineStr">
        <is>
          <t>Clean Tech Startups, Utilities, Research Consortia</t>
        </is>
      </c>
      <c r="O76" s="25" t="inlineStr">
        <is>
          <t>$500M+ federal and state grant applications supported</t>
        </is>
      </c>
      <c r="P76" s="25" t="inlineStr">
        <is>
          <t>Manual FOA decomposition and multi-database research consuming 20+ hours per proposal</t>
        </is>
      </c>
      <c r="Q76" s="25" t="inlineStr">
        <is>
          <t>10-second FOA shredder, 4-part PDF blueprints, and 5-stage capital continuum ledgers</t>
        </is>
      </c>
      <c r="R76" s="25" t="inlineStr">
        <is>
          <t>5-10 seats ($7,500 - $15,000/mo flat rate @ $1,500/seat)</t>
        </is>
      </c>
      <c r="S76" s="26" t="n">
        <v>20000</v>
      </c>
      <c r="T76" s="23" t="inlineStr">
        <is>
          <t>Not Contacted</t>
        </is>
      </c>
      <c r="U76" s="27" t="inlineStr"/>
      <c r="V76" s="27" t="inlineStr"/>
      <c r="W76" s="27" t="inlineStr"/>
      <c r="X76" s="27" t="inlineStr"/>
      <c r="Y76" s="28" t="inlineStr">
        <is>
          <t>Hi Ben,
I've been following TurboSBIR's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TurboSBIR's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76" s="25" t="inlineStr"/>
    </row>
    <row r="77">
      <c r="A77" s="21" t="n">
        <v>73</v>
      </c>
      <c r="B77" s="11" t="inlineStr">
        <is>
          <t>Emily Jones</t>
        </is>
      </c>
      <c r="C77" s="12" t="inlineStr">
        <is>
          <t>Emily</t>
        </is>
      </c>
      <c r="D77" s="12" t="inlineStr">
        <is>
          <t>Director of Grant Programs</t>
        </is>
      </c>
      <c r="E77" s="12" t="inlineStr">
        <is>
          <t>Tier 2: Practice Leader / Director (Budget Approver)</t>
        </is>
      </c>
      <c r="F77" s="11" t="inlineStr">
        <is>
          <t>Activate Global</t>
        </is>
      </c>
      <c r="G77" s="12" t="inlineStr">
        <is>
          <t>https://energyadvisory.com</t>
        </is>
      </c>
      <c r="H77" s="12" t="inlineStr">
        <is>
          <t>Clean Tech &amp; Energy Advisory</t>
        </is>
      </c>
      <c r="I77" s="12" t="inlineStr">
        <is>
          <t>20-100</t>
        </is>
      </c>
      <c r="J77" s="12" t="inlineStr">
        <is>
          <t>ejones@activate.org</t>
        </is>
      </c>
      <c r="K77" s="12" t="inlineStr">
        <is>
          <t>(510) 844-4800</t>
        </is>
      </c>
      <c r="L77" s="12" t="inlineStr">
        <is>
          <t>Berkeley, CA</t>
        </is>
      </c>
      <c r="M77" s="12" t="inlineStr">
        <is>
          <t>DOE, NYSERDA, CEC, NSF</t>
        </is>
      </c>
      <c r="N77" s="12" t="inlineStr">
        <is>
          <t>Clean Tech Startups, Utilities, Research Consortia</t>
        </is>
      </c>
      <c r="O77" s="12" t="inlineStr">
        <is>
          <t>$500M+ federal and state grant applications supported</t>
        </is>
      </c>
      <c r="P77" s="12" t="inlineStr">
        <is>
          <t>Manual FOA decomposition and multi-database research consuming 20+ hours per proposal</t>
        </is>
      </c>
      <c r="Q77" s="12" t="inlineStr">
        <is>
          <t>10-second FOA shredder, 4-part PDF blueprints, and 5-stage capital continuum ledgers</t>
        </is>
      </c>
      <c r="R77" s="12" t="inlineStr">
        <is>
          <t>5-10 seats ($7,500 - $15,000/mo flat rate @ $1,500/seat)</t>
        </is>
      </c>
      <c r="S77" s="15" t="n">
        <v>20000</v>
      </c>
      <c r="T77" s="21" t="inlineStr">
        <is>
          <t>Not Contacted</t>
        </is>
      </c>
      <c r="U77" s="13" t="inlineStr"/>
      <c r="V77" s="13" t="inlineStr"/>
      <c r="W77" s="13" t="inlineStr"/>
      <c r="X77" s="13" t="inlineStr"/>
      <c r="Y77" s="22" t="inlineStr">
        <is>
          <t>Hi Emily,
I've been following Activate Global's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Activate Global's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77" s="12" t="inlineStr"/>
    </row>
    <row r="78">
      <c r="A78" s="23" t="n">
        <v>74</v>
      </c>
      <c r="B78" s="24" t="inlineStr">
        <is>
          <t>Aakarsha Rai</t>
        </is>
      </c>
      <c r="C78" s="25" t="inlineStr">
        <is>
          <t>Aakarsha</t>
        </is>
      </c>
      <c r="D78" s="25" t="inlineStr">
        <is>
          <t>Portfolio Manager</t>
        </is>
      </c>
      <c r="E78" s="25" t="inlineStr">
        <is>
          <t>Tier 3: Senior Strategist / Proposal Lead (Power User)</t>
        </is>
      </c>
      <c r="F78" s="24" t="inlineStr">
        <is>
          <t>Activate Global</t>
        </is>
      </c>
      <c r="G78" s="25" t="inlineStr">
        <is>
          <t>https://energyadvisory.com</t>
        </is>
      </c>
      <c r="H78" s="25" t="inlineStr">
        <is>
          <t>Clean Tech &amp; Energy Advisory</t>
        </is>
      </c>
      <c r="I78" s="25" t="inlineStr">
        <is>
          <t>20-100</t>
        </is>
      </c>
      <c r="J78" s="25" t="inlineStr">
        <is>
          <t>arai@activate.org</t>
        </is>
      </c>
      <c r="K78" s="25" t="inlineStr">
        <is>
          <t>(510) 844-4800</t>
        </is>
      </c>
      <c r="L78" s="25" t="inlineStr">
        <is>
          <t>Boston, MA</t>
        </is>
      </c>
      <c r="M78" s="25" t="inlineStr">
        <is>
          <t>DOE, NYSERDA, CEC, NSF</t>
        </is>
      </c>
      <c r="N78" s="25" t="inlineStr">
        <is>
          <t>Clean Tech Startups, Utilities, Research Consortia</t>
        </is>
      </c>
      <c r="O78" s="25" t="inlineStr">
        <is>
          <t>$500M+ federal and state grant applications supported</t>
        </is>
      </c>
      <c r="P78" s="25" t="inlineStr">
        <is>
          <t>Manual FOA decomposition and multi-database research consuming 20+ hours per proposal</t>
        </is>
      </c>
      <c r="Q78" s="25" t="inlineStr">
        <is>
          <t>10-second FOA shredder, 4-part PDF blueprints, and 5-stage capital continuum ledgers</t>
        </is>
      </c>
      <c r="R78" s="25" t="inlineStr">
        <is>
          <t>5-10 seats ($7,500 - $15,000/mo flat rate @ $1,500/seat)</t>
        </is>
      </c>
      <c r="S78" s="26" t="n">
        <v>20000</v>
      </c>
      <c r="T78" s="23" t="inlineStr">
        <is>
          <t>Not Contacted</t>
        </is>
      </c>
      <c r="U78" s="27" t="inlineStr"/>
      <c r="V78" s="27" t="inlineStr"/>
      <c r="W78" s="27" t="inlineStr"/>
      <c r="X78" s="27" t="inlineStr"/>
      <c r="Y78" s="28" t="inlineStr">
        <is>
          <t>Hi Aakarsha,
I've been following Activate Global's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Activate Global's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78" s="25" t="inlineStr"/>
    </row>
    <row r="79">
      <c r="A79" s="21" t="n">
        <v>75</v>
      </c>
      <c r="B79" s="11" t="inlineStr">
        <is>
          <t>Matt Peterson</t>
        </is>
      </c>
      <c r="C79" s="12" t="inlineStr">
        <is>
          <t>Matt</t>
        </is>
      </c>
      <c r="D79" s="12" t="inlineStr">
        <is>
          <t>President &amp; CEO</t>
        </is>
      </c>
      <c r="E79" s="12" t="inlineStr">
        <is>
          <t>Tier 1: Senior Executive / Partner (Decision Maker)</t>
        </is>
      </c>
      <c r="F79" s="11" t="inlineStr">
        <is>
          <t>Los Angeles Cleantech Incubator (LACI)</t>
        </is>
      </c>
      <c r="G79" s="12" t="inlineStr">
        <is>
          <t>https://energyadvisory.com</t>
        </is>
      </c>
      <c r="H79" s="12" t="inlineStr">
        <is>
          <t>Clean Tech &amp; Energy Advisory</t>
        </is>
      </c>
      <c r="I79" s="12" t="inlineStr">
        <is>
          <t>20-100</t>
        </is>
      </c>
      <c r="J79" s="12" t="inlineStr">
        <is>
          <t>matt@laci.org</t>
        </is>
      </c>
      <c r="K79" s="12" t="inlineStr">
        <is>
          <t>(213) 358-6500</t>
        </is>
      </c>
      <c r="L79" s="12" t="inlineStr">
        <is>
          <t>Los Angeles, CA</t>
        </is>
      </c>
      <c r="M79" s="12" t="inlineStr">
        <is>
          <t>DOE, NYSERDA, CEC, NSF</t>
        </is>
      </c>
      <c r="N79" s="12" t="inlineStr">
        <is>
          <t>Clean Tech Startups, Utilities, Research Consortia</t>
        </is>
      </c>
      <c r="O79" s="12" t="inlineStr">
        <is>
          <t>$500M+ federal and state grant applications supported</t>
        </is>
      </c>
      <c r="P79" s="12" t="inlineStr">
        <is>
          <t>Manual FOA decomposition and multi-database research consuming 20+ hours per proposal</t>
        </is>
      </c>
      <c r="Q79" s="12" t="inlineStr">
        <is>
          <t>10-second FOA shredder, 4-part PDF blueprints, and 5-stage capital continuum ledgers</t>
        </is>
      </c>
      <c r="R79" s="12" t="inlineStr">
        <is>
          <t>5-10 seats ($7,500 - $15,000/mo flat rate @ $1,500/seat)</t>
        </is>
      </c>
      <c r="S79" s="15" t="n">
        <v>20000</v>
      </c>
      <c r="T79" s="21" t="inlineStr">
        <is>
          <t>Not Contacted</t>
        </is>
      </c>
      <c r="U79" s="13" t="inlineStr"/>
      <c r="V79" s="13" t="inlineStr"/>
      <c r="W79" s="13" t="inlineStr"/>
      <c r="X79" s="13" t="inlineStr"/>
      <c r="Y79" s="22" t="inlineStr">
        <is>
          <t>Hi Matt,
I've been following Los Angeles Cleantech Incubator (LACI)'s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Los Angeles Cleantech Incubator (LACI)'s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79" s="12" t="inlineStr"/>
    </row>
    <row r="80">
      <c r="A80" s="23" t="n">
        <v>76</v>
      </c>
      <c r="B80" s="24" t="inlineStr">
        <is>
          <t>Peter Mostow</t>
        </is>
      </c>
      <c r="C80" s="25" t="inlineStr">
        <is>
          <t>Peter</t>
        </is>
      </c>
      <c r="D80" s="25" t="inlineStr">
        <is>
          <t>Partner &amp; Co-Chair, Cleantech Practice</t>
        </is>
      </c>
      <c r="E80" s="25" t="inlineStr">
        <is>
          <t>Tier 1: Senior Executive / Partner (Decision Maker)</t>
        </is>
      </c>
      <c r="F80" s="24" t="inlineStr">
        <is>
          <t>Wilson Sonsini Goodrich &amp; Rosati</t>
        </is>
      </c>
      <c r="G80" s="25" t="inlineStr">
        <is>
          <t>https://wsgr.com</t>
        </is>
      </c>
      <c r="H80" s="25" t="inlineStr">
        <is>
          <t>Tier 1 Energy &amp; Clean Tech Legal Practice</t>
        </is>
      </c>
      <c r="I80" s="25" t="inlineStr">
        <is>
          <t>1,200+ (100+ Energy &amp; Climate)</t>
        </is>
      </c>
      <c r="J80" s="25" t="inlineStr">
        <is>
          <t>pmostow@wsgr.com</t>
        </is>
      </c>
      <c r="K80" s="25" t="inlineStr">
        <is>
          <t>(206) 883-2500</t>
        </is>
      </c>
      <c r="L80" s="25" t="inlineStr">
        <is>
          <t>Seattle / SF</t>
        </is>
      </c>
      <c r="M80" s="25" t="inlineStr">
        <is>
          <t>DOE LPO, DOE OCED, IRA Clean Energy Tax Credits (45V, 45Q, 48C), Treasury</t>
        </is>
      </c>
      <c r="N80" s="25" t="inlineStr">
        <is>
          <t>Premier Climate Tech Startups, Project Developers, Infrastructure VCs</t>
        </is>
      </c>
      <c r="O80" s="25" t="inlineStr">
        <is>
          <t>Advises on hundreds of billions in clean tech financings and LPO loans</t>
        </is>
      </c>
      <c r="P80" s="25" t="inlineStr">
        <is>
          <t>Performing legal and commercial diligence on grant covenants, cost-share agreements, and Bayh-Dole patent rights</t>
        </is>
      </c>
      <c r="Q80" s="25" t="inlineStr">
        <is>
          <t>Recipient Capital Dossier showing federal grant-to-patent lineage and statutory compliance covenants</t>
        </is>
      </c>
      <c r="R80" s="25" t="inlineStr">
        <is>
          <t>5-10 seats ($7,500 - $15,000/mo flat rate @ $1,500/seat)</t>
        </is>
      </c>
      <c r="S80" s="26" t="n">
        <v>20000</v>
      </c>
      <c r="T80" s="23" t="inlineStr">
        <is>
          <t>Not Contacted</t>
        </is>
      </c>
      <c r="U80" s="27" t="inlineStr"/>
      <c r="V80" s="27" t="inlineStr"/>
      <c r="W80" s="27" t="inlineStr"/>
      <c r="X80" s="27" t="inlineStr"/>
      <c r="Y80" s="28" t="inlineStr">
        <is>
          <t>Hi Peter,
I've been following Wilson Sonsini Goodrich &amp; Rosati's impressive work advising clean tech and hardtech clients across DOE LPO.
We recently launched the Energy Innovation Terminal (terminal.aixenergy.io) by AIxEnergy, an intelligence platform designed specifically for clean energy grant writing and technical consultancies.
Three capabilities that Wilson Sonsini Goodrich &amp; Rosati's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80" s="25" t="inlineStr"/>
    </row>
    <row r="81">
      <c r="A81" s="21" t="n">
        <v>77</v>
      </c>
      <c r="B81" s="11" t="inlineStr">
        <is>
          <t>Robert O'Connor</t>
        </is>
      </c>
      <c r="C81" s="12" t="inlineStr">
        <is>
          <t>Robert</t>
        </is>
      </c>
      <c r="D81" s="12" t="inlineStr">
        <is>
          <t>Partner, Energy &amp; Infrastructure</t>
        </is>
      </c>
      <c r="E81" s="12" t="inlineStr">
        <is>
          <t>Tier 1: Senior Executive / Partner (Decision Maker)</t>
        </is>
      </c>
      <c r="F81" s="11" t="inlineStr">
        <is>
          <t>Wilson Sonsini</t>
        </is>
      </c>
      <c r="G81" s="12" t="inlineStr">
        <is>
          <t>https://energyadvisory.com</t>
        </is>
      </c>
      <c r="H81" s="12" t="inlineStr">
        <is>
          <t>Clean Tech &amp; Energy Advisory</t>
        </is>
      </c>
      <c r="I81" s="12" t="inlineStr">
        <is>
          <t>20-100</t>
        </is>
      </c>
      <c r="J81" s="12" t="inlineStr">
        <is>
          <t>roconnor@wsgr.com</t>
        </is>
      </c>
      <c r="K81" s="12" t="inlineStr">
        <is>
          <t>(650) 493-9300</t>
        </is>
      </c>
      <c r="L81" s="12" t="inlineStr">
        <is>
          <t>Palo Alto, CA</t>
        </is>
      </c>
      <c r="M81" s="12" t="inlineStr">
        <is>
          <t>DOE, NYSERDA, CEC, NSF</t>
        </is>
      </c>
      <c r="N81" s="12" t="inlineStr">
        <is>
          <t>Clean Tech Startups, Utilities, Research Consortia</t>
        </is>
      </c>
      <c r="O81" s="12" t="inlineStr">
        <is>
          <t>$500M+ federal and state grant applications supported</t>
        </is>
      </c>
      <c r="P81" s="12" t="inlineStr">
        <is>
          <t>Manual FOA decomposition and multi-database research consuming 20+ hours per proposal</t>
        </is>
      </c>
      <c r="Q81" s="12" t="inlineStr">
        <is>
          <t>10-second FOA shredder, 4-part PDF blueprints, and 5-stage capital continuum ledgers</t>
        </is>
      </c>
      <c r="R81" s="12" t="inlineStr">
        <is>
          <t>5-10 seats ($7,500 - $15,000/mo flat rate @ $1,500/seat)</t>
        </is>
      </c>
      <c r="S81" s="15" t="n">
        <v>20000</v>
      </c>
      <c r="T81" s="21" t="inlineStr">
        <is>
          <t>Not Contacted</t>
        </is>
      </c>
      <c r="U81" s="13" t="inlineStr"/>
      <c r="V81" s="13" t="inlineStr"/>
      <c r="W81" s="13" t="inlineStr"/>
      <c r="X81" s="13" t="inlineStr"/>
      <c r="Y81" s="22" t="inlineStr">
        <is>
          <t>Hi Robert,
I've been following Wilson Sonsini's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Wilson Sonsini's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81" s="12" t="inlineStr"/>
    </row>
    <row r="82">
      <c r="A82" s="23" t="n">
        <v>78</v>
      </c>
      <c r="B82" s="24" t="inlineStr">
        <is>
          <t>Elise Zoli</t>
        </is>
      </c>
      <c r="C82" s="25" t="inlineStr">
        <is>
          <t>Elise</t>
        </is>
      </c>
      <c r="D82" s="25" t="inlineStr">
        <is>
          <t>Partner, Energy Transition Practice</t>
        </is>
      </c>
      <c r="E82" s="25" t="inlineStr">
        <is>
          <t>Tier 1: Senior Executive / Partner (Decision Maker)</t>
        </is>
      </c>
      <c r="F82" s="24" t="inlineStr">
        <is>
          <t>Wilson Sonsini</t>
        </is>
      </c>
      <c r="G82" s="25" t="inlineStr">
        <is>
          <t>https://energyadvisory.com</t>
        </is>
      </c>
      <c r="H82" s="25" t="inlineStr">
        <is>
          <t>Clean Tech &amp; Energy Advisory</t>
        </is>
      </c>
      <c r="I82" s="25" t="inlineStr">
        <is>
          <t>20-100</t>
        </is>
      </c>
      <c r="J82" s="25" t="inlineStr">
        <is>
          <t>ezoli@wsgr.com</t>
        </is>
      </c>
      <c r="K82" s="25" t="inlineStr">
        <is>
          <t>(617) 598-7800</t>
        </is>
      </c>
      <c r="L82" s="25" t="inlineStr">
        <is>
          <t>Boston, MA</t>
        </is>
      </c>
      <c r="M82" s="25" t="inlineStr">
        <is>
          <t>DOE, NYSERDA, CEC, NSF</t>
        </is>
      </c>
      <c r="N82" s="25" t="inlineStr">
        <is>
          <t>Clean Tech Startups, Utilities, Research Consortia</t>
        </is>
      </c>
      <c r="O82" s="25" t="inlineStr">
        <is>
          <t>$500M+ federal and state grant applications supported</t>
        </is>
      </c>
      <c r="P82" s="25" t="inlineStr">
        <is>
          <t>Manual FOA decomposition and multi-database research consuming 20+ hours per proposal</t>
        </is>
      </c>
      <c r="Q82" s="25" t="inlineStr">
        <is>
          <t>10-second FOA shredder, 4-part PDF blueprints, and 5-stage capital continuum ledgers</t>
        </is>
      </c>
      <c r="R82" s="25" t="inlineStr">
        <is>
          <t>5-10 seats ($7,500 - $15,000/mo flat rate @ $1,500/seat)</t>
        </is>
      </c>
      <c r="S82" s="26" t="n">
        <v>20000</v>
      </c>
      <c r="T82" s="23" t="inlineStr">
        <is>
          <t>Not Contacted</t>
        </is>
      </c>
      <c r="U82" s="27" t="inlineStr"/>
      <c r="V82" s="27" t="inlineStr"/>
      <c r="W82" s="27" t="inlineStr"/>
      <c r="X82" s="27" t="inlineStr"/>
      <c r="Y82" s="28" t="inlineStr">
        <is>
          <t>Hi Elise,
I've been following Wilson Sonsini's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Wilson Sonsini's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82" s="25" t="inlineStr"/>
    </row>
    <row r="83">
      <c r="A83" s="21" t="n">
        <v>79</v>
      </c>
      <c r="B83" s="11" t="inlineStr">
        <is>
          <t>Seth Hoedl</t>
        </is>
      </c>
      <c r="C83" s="12" t="inlineStr">
        <is>
          <t>Seth</t>
        </is>
      </c>
      <c r="D83" s="12" t="inlineStr">
        <is>
          <t>Partner, Energy &amp; Climate</t>
        </is>
      </c>
      <c r="E83" s="12" t="inlineStr">
        <is>
          <t>Tier 1: Senior Executive / Partner (Decision Maker)</t>
        </is>
      </c>
      <c r="F83" s="11" t="inlineStr">
        <is>
          <t>Foley Hoag LLP</t>
        </is>
      </c>
      <c r="G83" s="12" t="inlineStr">
        <is>
          <t>https://energyadvisory.com</t>
        </is>
      </c>
      <c r="H83" s="12" t="inlineStr">
        <is>
          <t>Clean Tech &amp; Energy Advisory</t>
        </is>
      </c>
      <c r="I83" s="12" t="inlineStr">
        <is>
          <t>20-100</t>
        </is>
      </c>
      <c r="J83" s="12" t="inlineStr">
        <is>
          <t>shoedl@foleyhoag.com</t>
        </is>
      </c>
      <c r="K83" s="12" t="inlineStr">
        <is>
          <t>(617) 832-1000</t>
        </is>
      </c>
      <c r="L83" s="12" t="inlineStr">
        <is>
          <t>Boston, MA</t>
        </is>
      </c>
      <c r="M83" s="12" t="inlineStr">
        <is>
          <t>DOE, NYSERDA, CEC, NSF</t>
        </is>
      </c>
      <c r="N83" s="12" t="inlineStr">
        <is>
          <t>Clean Tech Startups, Utilities, Research Consortia</t>
        </is>
      </c>
      <c r="O83" s="12" t="inlineStr">
        <is>
          <t>$500M+ federal and state grant applications supported</t>
        </is>
      </c>
      <c r="P83" s="12" t="inlineStr">
        <is>
          <t>Manual FOA decomposition and multi-database research consuming 20+ hours per proposal</t>
        </is>
      </c>
      <c r="Q83" s="12" t="inlineStr">
        <is>
          <t>10-second FOA shredder, 4-part PDF blueprints, and 5-stage capital continuum ledgers</t>
        </is>
      </c>
      <c r="R83" s="12" t="inlineStr">
        <is>
          <t>5-10 seats ($7,500 - $15,000/mo flat rate @ $1,500/seat)</t>
        </is>
      </c>
      <c r="S83" s="15" t="n">
        <v>20000</v>
      </c>
      <c r="T83" s="21" t="inlineStr">
        <is>
          <t>Not Contacted</t>
        </is>
      </c>
      <c r="U83" s="13" t="inlineStr"/>
      <c r="V83" s="13" t="inlineStr"/>
      <c r="W83" s="13" t="inlineStr"/>
      <c r="X83" s="13" t="inlineStr"/>
      <c r="Y83" s="22" t="inlineStr">
        <is>
          <t>Hi Seth,
I've been following Foley Hoag LLP's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Foley Hoag LLP's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83" s="12" t="inlineStr"/>
    </row>
    <row r="84">
      <c r="A84" s="23" t="n">
        <v>80</v>
      </c>
      <c r="B84" s="24" t="inlineStr">
        <is>
          <t>Kenneth Robinson</t>
        </is>
      </c>
      <c r="C84" s="25" t="inlineStr">
        <is>
          <t>Kenneth</t>
        </is>
      </c>
      <c r="D84" s="25" t="inlineStr">
        <is>
          <t>Partner, Cleantech &amp; Energy</t>
        </is>
      </c>
      <c r="E84" s="25" t="inlineStr">
        <is>
          <t>Tier 1: Senior Executive / Partner (Decision Maker)</t>
        </is>
      </c>
      <c r="F84" s="24" t="inlineStr">
        <is>
          <t>Foley Hoag LLP</t>
        </is>
      </c>
      <c r="G84" s="25" t="inlineStr">
        <is>
          <t>https://energyadvisory.com</t>
        </is>
      </c>
      <c r="H84" s="25" t="inlineStr">
        <is>
          <t>Clean Tech &amp; Energy Advisory</t>
        </is>
      </c>
      <c r="I84" s="25" t="inlineStr">
        <is>
          <t>20-100</t>
        </is>
      </c>
      <c r="J84" s="25" t="inlineStr">
        <is>
          <t>krobinson@foleyhoag.com</t>
        </is>
      </c>
      <c r="K84" s="25" t="inlineStr">
        <is>
          <t>(617) 832-1000</t>
        </is>
      </c>
      <c r="L84" s="25" t="inlineStr">
        <is>
          <t>Boston, MA</t>
        </is>
      </c>
      <c r="M84" s="25" t="inlineStr">
        <is>
          <t>DOE, NYSERDA, CEC, NSF</t>
        </is>
      </c>
      <c r="N84" s="25" t="inlineStr">
        <is>
          <t>Clean Tech Startups, Utilities, Research Consortia</t>
        </is>
      </c>
      <c r="O84" s="25" t="inlineStr">
        <is>
          <t>$500M+ federal and state grant applications supported</t>
        </is>
      </c>
      <c r="P84" s="25" t="inlineStr">
        <is>
          <t>Manual FOA decomposition and multi-database research consuming 20+ hours per proposal</t>
        </is>
      </c>
      <c r="Q84" s="25" t="inlineStr">
        <is>
          <t>10-second FOA shredder, 4-part PDF blueprints, and 5-stage capital continuum ledgers</t>
        </is>
      </c>
      <c r="R84" s="25" t="inlineStr">
        <is>
          <t>5-10 seats ($7,500 - $15,000/mo flat rate @ $1,500/seat)</t>
        </is>
      </c>
      <c r="S84" s="26" t="n">
        <v>20000</v>
      </c>
      <c r="T84" s="23" t="inlineStr">
        <is>
          <t>Not Contacted</t>
        </is>
      </c>
      <c r="U84" s="27" t="inlineStr"/>
      <c r="V84" s="27" t="inlineStr"/>
      <c r="W84" s="27" t="inlineStr"/>
      <c r="X84" s="27" t="inlineStr"/>
      <c r="Y84" s="28" t="inlineStr">
        <is>
          <t>Hi Kenneth,
I've been following Foley Hoag LLP's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Foley Hoag LLP's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84" s="25" t="inlineStr"/>
    </row>
    <row r="85">
      <c r="A85" s="21" t="n">
        <v>81</v>
      </c>
      <c r="B85" s="11" t="inlineStr">
        <is>
          <t>Taite McDonald</t>
        </is>
      </c>
      <c r="C85" s="12" t="inlineStr">
        <is>
          <t>Taite</t>
        </is>
      </c>
      <c r="D85" s="12" t="inlineStr">
        <is>
          <t>Partner &amp; Head of Government Contracts / Grants</t>
        </is>
      </c>
      <c r="E85" s="12" t="inlineStr">
        <is>
          <t>Tier 1: Senior Executive / Partner (Decision Maker)</t>
        </is>
      </c>
      <c r="F85" s="11" t="inlineStr">
        <is>
          <t>Holland &amp; Knight LLP</t>
        </is>
      </c>
      <c r="G85" s="12" t="inlineStr">
        <is>
          <t>https://energyadvisory.com</t>
        </is>
      </c>
      <c r="H85" s="12" t="inlineStr">
        <is>
          <t>Clean Tech &amp; Energy Advisory</t>
        </is>
      </c>
      <c r="I85" s="12" t="inlineStr">
        <is>
          <t>20-100</t>
        </is>
      </c>
      <c r="J85" s="12" t="inlineStr">
        <is>
          <t>taite.mcdonald@hklaw.com</t>
        </is>
      </c>
      <c r="K85" s="12" t="inlineStr">
        <is>
          <t>(202) 469-5100</t>
        </is>
      </c>
      <c r="L85" s="12" t="inlineStr">
        <is>
          <t>Washington, DC</t>
        </is>
      </c>
      <c r="M85" s="12" t="inlineStr">
        <is>
          <t>DOE, NYSERDA, CEC, NSF</t>
        </is>
      </c>
      <c r="N85" s="12" t="inlineStr">
        <is>
          <t>Clean Tech Startups, Utilities, Research Consortia</t>
        </is>
      </c>
      <c r="O85" s="12" t="inlineStr">
        <is>
          <t>$500M+ federal and state grant applications supported</t>
        </is>
      </c>
      <c r="P85" s="12" t="inlineStr">
        <is>
          <t>Manual FOA decomposition and multi-database research consuming 20+ hours per proposal</t>
        </is>
      </c>
      <c r="Q85" s="12" t="inlineStr">
        <is>
          <t>10-second FOA shredder, 4-part PDF blueprints, and 5-stage capital continuum ledgers</t>
        </is>
      </c>
      <c r="R85" s="12" t="inlineStr">
        <is>
          <t>5-10 seats ($7,500 - $15,000/mo flat rate @ $1,500/seat)</t>
        </is>
      </c>
      <c r="S85" s="15" t="n">
        <v>20000</v>
      </c>
      <c r="T85" s="21" t="inlineStr">
        <is>
          <t>Not Contacted</t>
        </is>
      </c>
      <c r="U85" s="13" t="inlineStr"/>
      <c r="V85" s="13" t="inlineStr"/>
      <c r="W85" s="13" t="inlineStr"/>
      <c r="X85" s="13" t="inlineStr"/>
      <c r="Y85" s="22" t="inlineStr">
        <is>
          <t>Hi Taite,
I've been following Holland &amp; Knight LLP's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Holland &amp; Knight LLP's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85" s="12" t="inlineStr"/>
    </row>
    <row r="86">
      <c r="A86" s="23" t="n">
        <v>82</v>
      </c>
      <c r="B86" s="24" t="inlineStr">
        <is>
          <t>Anita Patel</t>
        </is>
      </c>
      <c r="C86" s="25" t="inlineStr">
        <is>
          <t>Anita</t>
        </is>
      </c>
      <c r="D86" s="25" t="inlineStr">
        <is>
          <t>Senior Counsel, Energy &amp; Clean Tech</t>
        </is>
      </c>
      <c r="E86" s="25" t="inlineStr">
        <is>
          <t>Tier 3: Senior Strategist / Proposal Lead (Power User)</t>
        </is>
      </c>
      <c r="F86" s="24" t="inlineStr">
        <is>
          <t>Holland &amp; Knight LLP</t>
        </is>
      </c>
      <c r="G86" s="25" t="inlineStr">
        <is>
          <t>https://energyadvisory.com</t>
        </is>
      </c>
      <c r="H86" s="25" t="inlineStr">
        <is>
          <t>Clean Tech &amp; Energy Advisory</t>
        </is>
      </c>
      <c r="I86" s="25" t="inlineStr">
        <is>
          <t>20-100</t>
        </is>
      </c>
      <c r="J86" s="25" t="inlineStr">
        <is>
          <t>anita.patel@hklaw.com</t>
        </is>
      </c>
      <c r="K86" s="25" t="inlineStr">
        <is>
          <t>(202) 955-3000</t>
        </is>
      </c>
      <c r="L86" s="25" t="inlineStr">
        <is>
          <t>Washington, DC</t>
        </is>
      </c>
      <c r="M86" s="25" t="inlineStr">
        <is>
          <t>DOE, NYSERDA, CEC, NSF</t>
        </is>
      </c>
      <c r="N86" s="25" t="inlineStr">
        <is>
          <t>Clean Tech Startups, Utilities, Research Consortia</t>
        </is>
      </c>
      <c r="O86" s="25" t="inlineStr">
        <is>
          <t>$500M+ federal and state grant applications supported</t>
        </is>
      </c>
      <c r="P86" s="25" t="inlineStr">
        <is>
          <t>Manual FOA decomposition and multi-database research consuming 20+ hours per proposal</t>
        </is>
      </c>
      <c r="Q86" s="25" t="inlineStr">
        <is>
          <t>10-second FOA shredder, 4-part PDF blueprints, and 5-stage capital continuum ledgers</t>
        </is>
      </c>
      <c r="R86" s="25" t="inlineStr">
        <is>
          <t>5-10 seats ($7,500 - $15,000/mo flat rate @ $1,500/seat)</t>
        </is>
      </c>
      <c r="S86" s="26" t="n">
        <v>20000</v>
      </c>
      <c r="T86" s="23" t="inlineStr">
        <is>
          <t>Not Contacted</t>
        </is>
      </c>
      <c r="U86" s="27" t="inlineStr"/>
      <c r="V86" s="27" t="inlineStr"/>
      <c r="W86" s="27" t="inlineStr"/>
      <c r="X86" s="27" t="inlineStr"/>
      <c r="Y86" s="28" t="inlineStr">
        <is>
          <t>Hi Anita,
I've been following Holland &amp; Knight LLP's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Holland &amp; Knight LLP's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86" s="25" t="inlineStr"/>
    </row>
    <row r="87">
      <c r="A87" s="21" t="n">
        <v>83</v>
      </c>
      <c r="B87" s="11" t="inlineStr">
        <is>
          <t>Doug Benevento</t>
        </is>
      </c>
      <c r="C87" s="12" t="inlineStr">
        <is>
          <t>Doug</t>
        </is>
      </c>
      <c r="D87" s="12" t="inlineStr">
        <is>
          <t>Partner, Environment &amp; Energy</t>
        </is>
      </c>
      <c r="E87" s="12" t="inlineStr">
        <is>
          <t>Tier 1: Senior Executive / Partner (Decision Maker)</t>
        </is>
      </c>
      <c r="F87" s="11" t="inlineStr">
        <is>
          <t>Holland &amp; Knight LLP</t>
        </is>
      </c>
      <c r="G87" s="12" t="inlineStr">
        <is>
          <t>https://energyadvisory.com</t>
        </is>
      </c>
      <c r="H87" s="12" t="inlineStr">
        <is>
          <t>Clean Tech &amp; Energy Advisory</t>
        </is>
      </c>
      <c r="I87" s="12" t="inlineStr">
        <is>
          <t>20-100</t>
        </is>
      </c>
      <c r="J87" s="12" t="inlineStr">
        <is>
          <t>doug.benevento@hklaw.com</t>
        </is>
      </c>
      <c r="K87" s="12" t="inlineStr">
        <is>
          <t>(303) 975-1600</t>
        </is>
      </c>
      <c r="L87" s="12" t="inlineStr">
        <is>
          <t>Denver, CO</t>
        </is>
      </c>
      <c r="M87" s="12" t="inlineStr">
        <is>
          <t>DOE, NYSERDA, CEC, NSF</t>
        </is>
      </c>
      <c r="N87" s="12" t="inlineStr">
        <is>
          <t>Clean Tech Startups, Utilities, Research Consortia</t>
        </is>
      </c>
      <c r="O87" s="12" t="inlineStr">
        <is>
          <t>$500M+ federal and state grant applications supported</t>
        </is>
      </c>
      <c r="P87" s="12" t="inlineStr">
        <is>
          <t>Manual FOA decomposition and multi-database research consuming 20+ hours per proposal</t>
        </is>
      </c>
      <c r="Q87" s="12" t="inlineStr">
        <is>
          <t>10-second FOA shredder, 4-part PDF blueprints, and 5-stage capital continuum ledgers</t>
        </is>
      </c>
      <c r="R87" s="12" t="inlineStr">
        <is>
          <t>5-10 seats ($7,500 - $15,000/mo flat rate @ $1,500/seat)</t>
        </is>
      </c>
      <c r="S87" s="15" t="n">
        <v>20000</v>
      </c>
      <c r="T87" s="21" t="inlineStr">
        <is>
          <t>Not Contacted</t>
        </is>
      </c>
      <c r="U87" s="13" t="inlineStr"/>
      <c r="V87" s="13" t="inlineStr"/>
      <c r="W87" s="13" t="inlineStr"/>
      <c r="X87" s="13" t="inlineStr"/>
      <c r="Y87" s="22" t="inlineStr">
        <is>
          <t>Hi Doug,
I've been following Holland &amp; Knight LLP's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Holland &amp; Knight LLP's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87" s="12" t="inlineStr"/>
    </row>
    <row r="88">
      <c r="A88" s="23" t="n">
        <v>84</v>
      </c>
      <c r="B88" s="24" t="inlineStr">
        <is>
          <t>Bob Szabo</t>
        </is>
      </c>
      <c r="C88" s="25" t="inlineStr">
        <is>
          <t>Bob</t>
        </is>
      </c>
      <c r="D88" s="25" t="inlineStr">
        <is>
          <t>Partner &amp; Energy Practice Co-Lead</t>
        </is>
      </c>
      <c r="E88" s="25" t="inlineStr">
        <is>
          <t>Tier 1: Senior Executive / Partner (Decision Maker)</t>
        </is>
      </c>
      <c r="F88" s="24" t="inlineStr">
        <is>
          <t>Van Ness Feldman LLP</t>
        </is>
      </c>
      <c r="G88" s="25" t="inlineStr">
        <is>
          <t>https://energyadvisory.com</t>
        </is>
      </c>
      <c r="H88" s="25" t="inlineStr">
        <is>
          <t>Clean Tech &amp; Energy Advisory</t>
        </is>
      </c>
      <c r="I88" s="25" t="inlineStr">
        <is>
          <t>20-100</t>
        </is>
      </c>
      <c r="J88" s="25" t="inlineStr">
        <is>
          <t>rgs@vnf.com</t>
        </is>
      </c>
      <c r="K88" s="25" t="inlineStr">
        <is>
          <t>(202) 298-1800</t>
        </is>
      </c>
      <c r="L88" s="25" t="inlineStr">
        <is>
          <t>Washington, DC</t>
        </is>
      </c>
      <c r="M88" s="25" t="inlineStr">
        <is>
          <t>DOE, NYSERDA, CEC, NSF</t>
        </is>
      </c>
      <c r="N88" s="25" t="inlineStr">
        <is>
          <t>Clean Tech Startups, Utilities, Research Consortia</t>
        </is>
      </c>
      <c r="O88" s="25" t="inlineStr">
        <is>
          <t>$500M+ federal and state grant applications supported</t>
        </is>
      </c>
      <c r="P88" s="25" t="inlineStr">
        <is>
          <t>Manual FOA decomposition and multi-database research consuming 20+ hours per proposal</t>
        </is>
      </c>
      <c r="Q88" s="25" t="inlineStr">
        <is>
          <t>10-second FOA shredder, 4-part PDF blueprints, and 5-stage capital continuum ledgers</t>
        </is>
      </c>
      <c r="R88" s="25" t="inlineStr">
        <is>
          <t>5-10 seats ($7,500 - $15,000/mo flat rate @ $1,500/seat)</t>
        </is>
      </c>
      <c r="S88" s="26" t="n">
        <v>20000</v>
      </c>
      <c r="T88" s="23" t="inlineStr">
        <is>
          <t>Not Contacted</t>
        </is>
      </c>
      <c r="U88" s="27" t="inlineStr"/>
      <c r="V88" s="27" t="inlineStr"/>
      <c r="W88" s="27" t="inlineStr"/>
      <c r="X88" s="27" t="inlineStr"/>
      <c r="Y88" s="28" t="inlineStr">
        <is>
          <t>Hi Bob,
I've been following Van Ness Feldman LLP's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Van Ness Feldman LLP's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88" s="25" t="inlineStr"/>
    </row>
    <row r="89">
      <c r="A89" s="21" t="n">
        <v>85</v>
      </c>
      <c r="B89" s="11" t="inlineStr">
        <is>
          <t>Tanner Johnson</t>
        </is>
      </c>
      <c r="C89" s="12" t="inlineStr">
        <is>
          <t>Tanner</t>
        </is>
      </c>
      <c r="D89" s="12" t="inlineStr">
        <is>
          <t>Senior Policy Advisor</t>
        </is>
      </c>
      <c r="E89" s="12" t="inlineStr">
        <is>
          <t>Tier 3: Senior Strategist / Proposal Lead (Power User)</t>
        </is>
      </c>
      <c r="F89" s="11" t="inlineStr">
        <is>
          <t>Van Ness Feldman LLP</t>
        </is>
      </c>
      <c r="G89" s="12" t="inlineStr">
        <is>
          <t>https://energyadvisory.com</t>
        </is>
      </c>
      <c r="H89" s="12" t="inlineStr">
        <is>
          <t>Clean Tech &amp; Energy Advisory</t>
        </is>
      </c>
      <c r="I89" s="12" t="inlineStr">
        <is>
          <t>20-100</t>
        </is>
      </c>
      <c r="J89" s="12" t="inlineStr">
        <is>
          <t>tjj@vnf.com</t>
        </is>
      </c>
      <c r="K89" s="12" t="inlineStr">
        <is>
          <t>(202) 298-1800</t>
        </is>
      </c>
      <c r="L89" s="12" t="inlineStr">
        <is>
          <t>Washington, DC</t>
        </is>
      </c>
      <c r="M89" s="12" t="inlineStr">
        <is>
          <t>DOE, NYSERDA, CEC, NSF</t>
        </is>
      </c>
      <c r="N89" s="12" t="inlineStr">
        <is>
          <t>Clean Tech Startups, Utilities, Research Consortia</t>
        </is>
      </c>
      <c r="O89" s="12" t="inlineStr">
        <is>
          <t>$500M+ federal and state grant applications supported</t>
        </is>
      </c>
      <c r="P89" s="12" t="inlineStr">
        <is>
          <t>Manual FOA decomposition and multi-database research consuming 20+ hours per proposal</t>
        </is>
      </c>
      <c r="Q89" s="12" t="inlineStr">
        <is>
          <t>10-second FOA shredder, 4-part PDF blueprints, and 5-stage capital continuum ledgers</t>
        </is>
      </c>
      <c r="R89" s="12" t="inlineStr">
        <is>
          <t>5-10 seats ($7,500 - $15,000/mo flat rate @ $1,500/seat)</t>
        </is>
      </c>
      <c r="S89" s="15" t="n">
        <v>20000</v>
      </c>
      <c r="T89" s="21" t="inlineStr">
        <is>
          <t>Not Contacted</t>
        </is>
      </c>
      <c r="U89" s="13" t="inlineStr"/>
      <c r="V89" s="13" t="inlineStr"/>
      <c r="W89" s="13" t="inlineStr"/>
      <c r="X89" s="13" t="inlineStr"/>
      <c r="Y89" s="22" t="inlineStr">
        <is>
          <t>Hi Tanner,
I've been following Van Ness Feldman LLP's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Van Ness Feldman LLP's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89" s="12" t="inlineStr"/>
    </row>
    <row r="90">
      <c r="A90" s="23" t="n">
        <v>86</v>
      </c>
      <c r="B90" s="24" t="inlineStr">
        <is>
          <t>Paul Kjellander</t>
        </is>
      </c>
      <c r="C90" s="25" t="inlineStr">
        <is>
          <t>Paul</t>
        </is>
      </c>
      <c r="D90" s="25" t="inlineStr">
        <is>
          <t>Senior Advisor, Energy</t>
        </is>
      </c>
      <c r="E90" s="25" t="inlineStr">
        <is>
          <t>Tier 3: Senior Strategist / Proposal Lead (Power User)</t>
        </is>
      </c>
      <c r="F90" s="24" t="inlineStr">
        <is>
          <t>Van Ness Feldman LLP</t>
        </is>
      </c>
      <c r="G90" s="25" t="inlineStr">
        <is>
          <t>https://energyadvisory.com</t>
        </is>
      </c>
      <c r="H90" s="25" t="inlineStr">
        <is>
          <t>Clean Tech &amp; Energy Advisory</t>
        </is>
      </c>
      <c r="I90" s="25" t="inlineStr">
        <is>
          <t>20-100</t>
        </is>
      </c>
      <c r="J90" s="25" t="inlineStr">
        <is>
          <t>pkjellander@vnf.com</t>
        </is>
      </c>
      <c r="K90" s="25" t="inlineStr">
        <is>
          <t>(202) 298-1800</t>
        </is>
      </c>
      <c r="L90" s="25" t="inlineStr">
        <is>
          <t>Washington, DC</t>
        </is>
      </c>
      <c r="M90" s="25" t="inlineStr">
        <is>
          <t>DOE, NYSERDA, CEC, NSF</t>
        </is>
      </c>
      <c r="N90" s="25" t="inlineStr">
        <is>
          <t>Clean Tech Startups, Utilities, Research Consortia</t>
        </is>
      </c>
      <c r="O90" s="25" t="inlineStr">
        <is>
          <t>$500M+ federal and state grant applications supported</t>
        </is>
      </c>
      <c r="P90" s="25" t="inlineStr">
        <is>
          <t>Manual FOA decomposition and multi-database research consuming 20+ hours per proposal</t>
        </is>
      </c>
      <c r="Q90" s="25" t="inlineStr">
        <is>
          <t>10-second FOA shredder, 4-part PDF blueprints, and 5-stage capital continuum ledgers</t>
        </is>
      </c>
      <c r="R90" s="25" t="inlineStr">
        <is>
          <t>5-10 seats ($7,500 - $15,000/mo flat rate @ $1,500/seat)</t>
        </is>
      </c>
      <c r="S90" s="26" t="n">
        <v>20000</v>
      </c>
      <c r="T90" s="23" t="inlineStr">
        <is>
          <t>Not Contacted</t>
        </is>
      </c>
      <c r="U90" s="27" t="inlineStr"/>
      <c r="V90" s="27" t="inlineStr"/>
      <c r="W90" s="27" t="inlineStr"/>
      <c r="X90" s="27" t="inlineStr"/>
      <c r="Y90" s="28" t="inlineStr">
        <is>
          <t>Hi Paul,
I've been following Van Ness Feldman LLP's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Van Ness Feldman LLP's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90" s="25" t="inlineStr"/>
    </row>
    <row r="91">
      <c r="A91" s="21" t="n">
        <v>87</v>
      </c>
      <c r="B91" s="11" t="inlineStr">
        <is>
          <t>Arthur Mason</t>
        </is>
      </c>
      <c r="C91" s="12" t="inlineStr">
        <is>
          <t>Arthur</t>
        </is>
      </c>
      <c r="D91" s="12" t="inlineStr">
        <is>
          <t>Co-Chair, Energy &amp; Environment</t>
        </is>
      </c>
      <c r="E91" s="12" t="inlineStr">
        <is>
          <t>Tier 3: Senior Strategist / Proposal Lead (Power User)</t>
        </is>
      </c>
      <c r="F91" s="11" t="inlineStr">
        <is>
          <t>Cassidy &amp; Associates</t>
        </is>
      </c>
      <c r="G91" s="12" t="inlineStr">
        <is>
          <t>https://energyadvisory.com</t>
        </is>
      </c>
      <c r="H91" s="12" t="inlineStr">
        <is>
          <t>Clean Tech &amp; Energy Advisory</t>
        </is>
      </c>
      <c r="I91" s="12" t="inlineStr">
        <is>
          <t>20-100</t>
        </is>
      </c>
      <c r="J91" s="12" t="inlineStr">
        <is>
          <t>amason@cassidy.com</t>
        </is>
      </c>
      <c r="K91" s="12" t="inlineStr">
        <is>
          <t>(202) 347-0773</t>
        </is>
      </c>
      <c r="L91" s="12" t="inlineStr">
        <is>
          <t>Washington, DC</t>
        </is>
      </c>
      <c r="M91" s="12" t="inlineStr">
        <is>
          <t>DOE, NYSERDA, CEC, NSF</t>
        </is>
      </c>
      <c r="N91" s="12" t="inlineStr">
        <is>
          <t>Clean Tech Startups, Utilities, Research Consortia</t>
        </is>
      </c>
      <c r="O91" s="12" t="inlineStr">
        <is>
          <t>$500M+ federal and state grant applications supported</t>
        </is>
      </c>
      <c r="P91" s="12" t="inlineStr">
        <is>
          <t>Manual FOA decomposition and multi-database research consuming 20+ hours per proposal</t>
        </is>
      </c>
      <c r="Q91" s="12" t="inlineStr">
        <is>
          <t>10-second FOA shredder, 4-part PDF blueprints, and 5-stage capital continuum ledgers</t>
        </is>
      </c>
      <c r="R91" s="12" t="inlineStr">
        <is>
          <t>5-10 seats ($7,500 - $15,000/mo flat rate @ $1,500/seat)</t>
        </is>
      </c>
      <c r="S91" s="15" t="n">
        <v>20000</v>
      </c>
      <c r="T91" s="21" t="inlineStr">
        <is>
          <t>Not Contacted</t>
        </is>
      </c>
      <c r="U91" s="13" t="inlineStr"/>
      <c r="V91" s="13" t="inlineStr"/>
      <c r="W91" s="13" t="inlineStr"/>
      <c r="X91" s="13" t="inlineStr"/>
      <c r="Y91" s="22" t="inlineStr">
        <is>
          <t>Hi Arthur,
I've been following Cassidy &amp; Associates's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Cassidy &amp; Associates's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91" s="12" t="inlineStr"/>
    </row>
    <row r="92">
      <c r="A92" s="23" t="n">
        <v>88</v>
      </c>
      <c r="B92" s="24" t="inlineStr">
        <is>
          <t>Russ Thomasson</t>
        </is>
      </c>
      <c r="C92" s="25" t="inlineStr">
        <is>
          <t>Russ</t>
        </is>
      </c>
      <c r="D92" s="25" t="inlineStr">
        <is>
          <t>Partner, Energy Practice</t>
        </is>
      </c>
      <c r="E92" s="25" t="inlineStr">
        <is>
          <t>Tier 1: Senior Executive / Partner (Decision Maker)</t>
        </is>
      </c>
      <c r="F92" s="24" t="inlineStr">
        <is>
          <t>Cassidy &amp; Associates</t>
        </is>
      </c>
      <c r="G92" s="25" t="inlineStr">
        <is>
          <t>https://energyadvisory.com</t>
        </is>
      </c>
      <c r="H92" s="25" t="inlineStr">
        <is>
          <t>Clean Tech &amp; Energy Advisory</t>
        </is>
      </c>
      <c r="I92" s="25" t="inlineStr">
        <is>
          <t>20-100</t>
        </is>
      </c>
      <c r="J92" s="25" t="inlineStr">
        <is>
          <t>rthomasson@cassidy.com</t>
        </is>
      </c>
      <c r="K92" s="25" t="inlineStr">
        <is>
          <t>(202) 347-0773</t>
        </is>
      </c>
      <c r="L92" s="25" t="inlineStr">
        <is>
          <t>Washington, DC</t>
        </is>
      </c>
      <c r="M92" s="25" t="inlineStr">
        <is>
          <t>DOE, NYSERDA, CEC, NSF</t>
        </is>
      </c>
      <c r="N92" s="25" t="inlineStr">
        <is>
          <t>Clean Tech Startups, Utilities, Research Consortia</t>
        </is>
      </c>
      <c r="O92" s="25" t="inlineStr">
        <is>
          <t>$500M+ federal and state grant applications supported</t>
        </is>
      </c>
      <c r="P92" s="25" t="inlineStr">
        <is>
          <t>Manual FOA decomposition and multi-database research consuming 20+ hours per proposal</t>
        </is>
      </c>
      <c r="Q92" s="25" t="inlineStr">
        <is>
          <t>10-second FOA shredder, 4-part PDF blueprints, and 5-stage capital continuum ledgers</t>
        </is>
      </c>
      <c r="R92" s="25" t="inlineStr">
        <is>
          <t>5-10 seats ($7,500 - $15,000/mo flat rate @ $1,500/seat)</t>
        </is>
      </c>
      <c r="S92" s="26" t="n">
        <v>20000</v>
      </c>
      <c r="T92" s="23" t="inlineStr">
        <is>
          <t>Not Contacted</t>
        </is>
      </c>
      <c r="U92" s="27" t="inlineStr"/>
      <c r="V92" s="27" t="inlineStr"/>
      <c r="W92" s="27" t="inlineStr"/>
      <c r="X92" s="27" t="inlineStr"/>
      <c r="Y92" s="28" t="inlineStr">
        <is>
          <t>Hi Russ,
I've been following Cassidy &amp; Associates's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Cassidy &amp; Associates's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92" s="25" t="inlineStr"/>
    </row>
    <row r="93">
      <c r="A93" s="21" t="n">
        <v>89</v>
      </c>
      <c r="B93" s="11" t="inlineStr">
        <is>
          <t>Mark Rey</t>
        </is>
      </c>
      <c r="C93" s="12" t="inlineStr">
        <is>
          <t>Mark</t>
        </is>
      </c>
      <c r="D93" s="12" t="inlineStr">
        <is>
          <t>Senior Advisor, Natural Resources</t>
        </is>
      </c>
      <c r="E93" s="12" t="inlineStr">
        <is>
          <t>Tier 3: Senior Strategist / Proposal Lead (Power User)</t>
        </is>
      </c>
      <c r="F93" s="11" t="inlineStr">
        <is>
          <t>Cassidy &amp; Associates</t>
        </is>
      </c>
      <c r="G93" s="12" t="inlineStr">
        <is>
          <t>https://energyadvisory.com</t>
        </is>
      </c>
      <c r="H93" s="12" t="inlineStr">
        <is>
          <t>Clean Tech &amp; Energy Advisory</t>
        </is>
      </c>
      <c r="I93" s="12" t="inlineStr">
        <is>
          <t>20-100</t>
        </is>
      </c>
      <c r="J93" s="12" t="inlineStr">
        <is>
          <t>mrey@cassidy.com</t>
        </is>
      </c>
      <c r="K93" s="12" t="inlineStr">
        <is>
          <t>(202) 347-0773</t>
        </is>
      </c>
      <c r="L93" s="12" t="inlineStr">
        <is>
          <t>Washington, DC</t>
        </is>
      </c>
      <c r="M93" s="12" t="inlineStr">
        <is>
          <t>DOE, NYSERDA, CEC, NSF</t>
        </is>
      </c>
      <c r="N93" s="12" t="inlineStr">
        <is>
          <t>Clean Tech Startups, Utilities, Research Consortia</t>
        </is>
      </c>
      <c r="O93" s="12" t="inlineStr">
        <is>
          <t>$500M+ federal and state grant applications supported</t>
        </is>
      </c>
      <c r="P93" s="12" t="inlineStr">
        <is>
          <t>Manual FOA decomposition and multi-database research consuming 20+ hours per proposal</t>
        </is>
      </c>
      <c r="Q93" s="12" t="inlineStr">
        <is>
          <t>10-second FOA shredder, 4-part PDF blueprints, and 5-stage capital continuum ledgers</t>
        </is>
      </c>
      <c r="R93" s="12" t="inlineStr">
        <is>
          <t>5-10 seats ($7,500 - $15,000/mo flat rate @ $1,500/seat)</t>
        </is>
      </c>
      <c r="S93" s="15" t="n">
        <v>20000</v>
      </c>
      <c r="T93" s="21" t="inlineStr">
        <is>
          <t>Not Contacted</t>
        </is>
      </c>
      <c r="U93" s="13" t="inlineStr"/>
      <c r="V93" s="13" t="inlineStr"/>
      <c r="W93" s="13" t="inlineStr"/>
      <c r="X93" s="13" t="inlineStr"/>
      <c r="Y93" s="22" t="inlineStr">
        <is>
          <t>Hi Mark,
I've been following Cassidy &amp; Associates's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Cassidy &amp; Associates's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93" s="12" t="inlineStr"/>
    </row>
    <row r="94">
      <c r="A94" s="23" t="n">
        <v>90</v>
      </c>
      <c r="B94" s="24" t="inlineStr">
        <is>
          <t>Campbell Kaufman</t>
        </is>
      </c>
      <c r="C94" s="25" t="inlineStr">
        <is>
          <t>Campbell</t>
        </is>
      </c>
      <c r="D94" s="25" t="inlineStr">
        <is>
          <t>Managing Director</t>
        </is>
      </c>
      <c r="E94" s="25" t="inlineStr">
        <is>
          <t>Tier 1: Senior Executive / Partner (Decision Maker)</t>
        </is>
      </c>
      <c r="F94" s="24" t="inlineStr">
        <is>
          <t>Cornerstone Government Affairs</t>
        </is>
      </c>
      <c r="G94" s="25" t="inlineStr">
        <is>
          <t>https://energyadvisory.com</t>
        </is>
      </c>
      <c r="H94" s="25" t="inlineStr">
        <is>
          <t>Clean Tech &amp; Energy Advisory</t>
        </is>
      </c>
      <c r="I94" s="25" t="inlineStr">
        <is>
          <t>20-100</t>
        </is>
      </c>
      <c r="J94" s="25" t="inlineStr">
        <is>
          <t>ckaufman@cgagroup.com</t>
        </is>
      </c>
      <c r="K94" s="25" t="inlineStr">
        <is>
          <t>(202) 448-9500</t>
        </is>
      </c>
      <c r="L94" s="25" t="inlineStr">
        <is>
          <t>Washington, DC</t>
        </is>
      </c>
      <c r="M94" s="25" t="inlineStr">
        <is>
          <t>DOE, NYSERDA, CEC, NSF</t>
        </is>
      </c>
      <c r="N94" s="25" t="inlineStr">
        <is>
          <t>Clean Tech Startups, Utilities, Research Consortia</t>
        </is>
      </c>
      <c r="O94" s="25" t="inlineStr">
        <is>
          <t>$500M+ federal and state grant applications supported</t>
        </is>
      </c>
      <c r="P94" s="25" t="inlineStr">
        <is>
          <t>Manual FOA decomposition and multi-database research consuming 20+ hours per proposal</t>
        </is>
      </c>
      <c r="Q94" s="25" t="inlineStr">
        <is>
          <t>10-second FOA shredder, 4-part PDF blueprints, and 5-stage capital continuum ledgers</t>
        </is>
      </c>
      <c r="R94" s="25" t="inlineStr">
        <is>
          <t>5-10 seats ($7,500 - $15,000/mo flat rate @ $1,500/seat)</t>
        </is>
      </c>
      <c r="S94" s="26" t="n">
        <v>20000</v>
      </c>
      <c r="T94" s="23" t="inlineStr">
        <is>
          <t>Not Contacted</t>
        </is>
      </c>
      <c r="U94" s="27" t="inlineStr"/>
      <c r="V94" s="27" t="inlineStr"/>
      <c r="W94" s="27" t="inlineStr"/>
      <c r="X94" s="27" t="inlineStr"/>
      <c r="Y94" s="28" t="inlineStr">
        <is>
          <t>Hi Campbell,
I've been following Cornerstone Government Affairs's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Cornerstone Government Affairs's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94" s="25" t="inlineStr"/>
    </row>
    <row r="95">
      <c r="A95" s="21" t="n">
        <v>91</v>
      </c>
      <c r="B95" s="11" t="inlineStr">
        <is>
          <t>Stacy Rich</t>
        </is>
      </c>
      <c r="C95" s="12" t="inlineStr">
        <is>
          <t>Stacy</t>
        </is>
      </c>
      <c r="D95" s="12" t="inlineStr">
        <is>
          <t>Vice President, Clean Tech</t>
        </is>
      </c>
      <c r="E95" s="12" t="inlineStr">
        <is>
          <t>Tier 1: Senior Executive / Partner (Decision Maker)</t>
        </is>
      </c>
      <c r="F95" s="11" t="inlineStr">
        <is>
          <t>Cornerstone Government Affairs</t>
        </is>
      </c>
      <c r="G95" s="12" t="inlineStr">
        <is>
          <t>https://energyadvisory.com</t>
        </is>
      </c>
      <c r="H95" s="12" t="inlineStr">
        <is>
          <t>Clean Tech &amp; Energy Advisory</t>
        </is>
      </c>
      <c r="I95" s="12" t="inlineStr">
        <is>
          <t>20-100</t>
        </is>
      </c>
      <c r="J95" s="12" t="inlineStr">
        <is>
          <t>srich@cgagroup.com</t>
        </is>
      </c>
      <c r="K95" s="12" t="inlineStr">
        <is>
          <t>(202) 448-9500</t>
        </is>
      </c>
      <c r="L95" s="12" t="inlineStr">
        <is>
          <t>Washington, DC</t>
        </is>
      </c>
      <c r="M95" s="12" t="inlineStr">
        <is>
          <t>DOE, NYSERDA, CEC, NSF</t>
        </is>
      </c>
      <c r="N95" s="12" t="inlineStr">
        <is>
          <t>Clean Tech Startups, Utilities, Research Consortia</t>
        </is>
      </c>
      <c r="O95" s="12" t="inlineStr">
        <is>
          <t>$500M+ federal and state grant applications supported</t>
        </is>
      </c>
      <c r="P95" s="12" t="inlineStr">
        <is>
          <t>Manual FOA decomposition and multi-database research consuming 20+ hours per proposal</t>
        </is>
      </c>
      <c r="Q95" s="12" t="inlineStr">
        <is>
          <t>10-second FOA shredder, 4-part PDF blueprints, and 5-stage capital continuum ledgers</t>
        </is>
      </c>
      <c r="R95" s="12" t="inlineStr">
        <is>
          <t>5-10 seats ($7,500 - $15,000/mo flat rate @ $1,500/seat)</t>
        </is>
      </c>
      <c r="S95" s="15" t="n">
        <v>20000</v>
      </c>
      <c r="T95" s="21" t="inlineStr">
        <is>
          <t>Not Contacted</t>
        </is>
      </c>
      <c r="U95" s="13" t="inlineStr"/>
      <c r="V95" s="13" t="inlineStr"/>
      <c r="W95" s="13" t="inlineStr"/>
      <c r="X95" s="13" t="inlineStr"/>
      <c r="Y95" s="22" t="inlineStr">
        <is>
          <t>Hi Stacy,
I've been following Cornerstone Government Affairs's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Cornerstone Government Affairs's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95" s="12" t="inlineStr"/>
    </row>
    <row r="96">
      <c r="A96" s="23" t="n">
        <v>92</v>
      </c>
      <c r="B96" s="24" t="inlineStr">
        <is>
          <t>Todd Webster</t>
        </is>
      </c>
      <c r="C96" s="25" t="inlineStr">
        <is>
          <t>Todd</t>
        </is>
      </c>
      <c r="D96" s="25" t="inlineStr">
        <is>
          <t>Senior VP, Energy Policy</t>
        </is>
      </c>
      <c r="E96" s="25" t="inlineStr">
        <is>
          <t>Tier 2: Practice Leader / Director (Budget Approver)</t>
        </is>
      </c>
      <c r="F96" s="24" t="inlineStr">
        <is>
          <t>Cornerstone Government Affairs</t>
        </is>
      </c>
      <c r="G96" s="25" t="inlineStr">
        <is>
          <t>https://energyadvisory.com</t>
        </is>
      </c>
      <c r="H96" s="25" t="inlineStr">
        <is>
          <t>Clean Tech &amp; Energy Advisory</t>
        </is>
      </c>
      <c r="I96" s="25" t="inlineStr">
        <is>
          <t>20-100</t>
        </is>
      </c>
      <c r="J96" s="25" t="inlineStr">
        <is>
          <t>twebster@cgagroup.com</t>
        </is>
      </c>
      <c r="K96" s="25" t="inlineStr">
        <is>
          <t>(202) 448-9500</t>
        </is>
      </c>
      <c r="L96" s="25" t="inlineStr">
        <is>
          <t>Washington, DC</t>
        </is>
      </c>
      <c r="M96" s="25" t="inlineStr">
        <is>
          <t>DOE, NYSERDA, CEC, NSF</t>
        </is>
      </c>
      <c r="N96" s="25" t="inlineStr">
        <is>
          <t>Clean Tech Startups, Utilities, Research Consortia</t>
        </is>
      </c>
      <c r="O96" s="25" t="inlineStr">
        <is>
          <t>$500M+ federal and state grant applications supported</t>
        </is>
      </c>
      <c r="P96" s="25" t="inlineStr">
        <is>
          <t>Manual FOA decomposition and multi-database research consuming 20+ hours per proposal</t>
        </is>
      </c>
      <c r="Q96" s="25" t="inlineStr">
        <is>
          <t>10-second FOA shredder, 4-part PDF blueprints, and 5-stage capital continuum ledgers</t>
        </is>
      </c>
      <c r="R96" s="25" t="inlineStr">
        <is>
          <t>5-10 seats ($7,500 - $15,000/mo flat rate @ $1,500/seat)</t>
        </is>
      </c>
      <c r="S96" s="26" t="n">
        <v>20000</v>
      </c>
      <c r="T96" s="23" t="inlineStr">
        <is>
          <t>Not Contacted</t>
        </is>
      </c>
      <c r="U96" s="27" t="inlineStr"/>
      <c r="V96" s="27" t="inlineStr"/>
      <c r="W96" s="27" t="inlineStr"/>
      <c r="X96" s="27" t="inlineStr"/>
      <c r="Y96" s="28" t="inlineStr">
        <is>
          <t>Hi Todd,
I've been following Cornerstone Government Affairs's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Cornerstone Government Affairs's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96" s="25" t="inlineStr"/>
    </row>
    <row r="97">
      <c r="A97" s="21" t="n">
        <v>93</v>
      </c>
      <c r="B97" s="11" t="inlineStr">
        <is>
          <t>Bill Viney</t>
        </is>
      </c>
      <c r="C97" s="12" t="inlineStr">
        <is>
          <t>Bill</t>
        </is>
      </c>
      <c r="D97" s="12" t="inlineStr">
        <is>
          <t>Head of Energy Practice</t>
        </is>
      </c>
      <c r="E97" s="12" t="inlineStr">
        <is>
          <t>Tier 2: Practice Leader / Director (Budget Approver)</t>
        </is>
      </c>
      <c r="F97" s="11" t="inlineStr">
        <is>
          <t>BGR Group</t>
        </is>
      </c>
      <c r="G97" s="12" t="inlineStr">
        <is>
          <t>https://energyadvisory.com</t>
        </is>
      </c>
      <c r="H97" s="12" t="inlineStr">
        <is>
          <t>Clean Tech &amp; Energy Advisory</t>
        </is>
      </c>
      <c r="I97" s="12" t="inlineStr">
        <is>
          <t>20-100</t>
        </is>
      </c>
      <c r="J97" s="12" t="inlineStr">
        <is>
          <t>bviney@bgrdc.com</t>
        </is>
      </c>
      <c r="K97" s="12" t="inlineStr">
        <is>
          <t>(202) 333-4936</t>
        </is>
      </c>
      <c r="L97" s="12" t="inlineStr">
        <is>
          <t>Washington, DC</t>
        </is>
      </c>
      <c r="M97" s="12" t="inlineStr">
        <is>
          <t>DOE, NYSERDA, CEC, NSF</t>
        </is>
      </c>
      <c r="N97" s="12" t="inlineStr">
        <is>
          <t>Clean Tech Startups, Utilities, Research Consortia</t>
        </is>
      </c>
      <c r="O97" s="12" t="inlineStr">
        <is>
          <t>$500M+ federal and state grant applications supported</t>
        </is>
      </c>
      <c r="P97" s="12" t="inlineStr">
        <is>
          <t>Manual FOA decomposition and multi-database research consuming 20+ hours per proposal</t>
        </is>
      </c>
      <c r="Q97" s="12" t="inlineStr">
        <is>
          <t>10-second FOA shredder, 4-part PDF blueprints, and 5-stage capital continuum ledgers</t>
        </is>
      </c>
      <c r="R97" s="12" t="inlineStr">
        <is>
          <t>5-10 seats ($7,500 - $15,000/mo flat rate @ $1,500/seat)</t>
        </is>
      </c>
      <c r="S97" s="15" t="n">
        <v>20000</v>
      </c>
      <c r="T97" s="21" t="inlineStr">
        <is>
          <t>Not Contacted</t>
        </is>
      </c>
      <c r="U97" s="13" t="inlineStr"/>
      <c r="V97" s="13" t="inlineStr"/>
      <c r="W97" s="13" t="inlineStr"/>
      <c r="X97" s="13" t="inlineStr"/>
      <c r="Y97" s="22" t="inlineStr">
        <is>
          <t>Hi Bill,
I've been following BGR Group's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BGR Group's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97" s="12" t="inlineStr"/>
    </row>
    <row r="98">
      <c r="A98" s="23" t="n">
        <v>94</v>
      </c>
      <c r="B98" s="24" t="inlineStr">
        <is>
          <t>Jennifer Lukawski</t>
        </is>
      </c>
      <c r="C98" s="25" t="inlineStr">
        <is>
          <t>Jennifer</t>
        </is>
      </c>
      <c r="D98" s="25" t="inlineStr">
        <is>
          <t>Partner, Energy &amp; Commerce</t>
        </is>
      </c>
      <c r="E98" s="25" t="inlineStr">
        <is>
          <t>Tier 1: Senior Executive / Partner (Decision Maker)</t>
        </is>
      </c>
      <c r="F98" s="24" t="inlineStr">
        <is>
          <t>BGR Group</t>
        </is>
      </c>
      <c r="G98" s="25" t="inlineStr">
        <is>
          <t>https://energyadvisory.com</t>
        </is>
      </c>
      <c r="H98" s="25" t="inlineStr">
        <is>
          <t>Clean Tech &amp; Energy Advisory</t>
        </is>
      </c>
      <c r="I98" s="25" t="inlineStr">
        <is>
          <t>20-100</t>
        </is>
      </c>
      <c r="J98" s="25" t="inlineStr">
        <is>
          <t>jlukawski@bgrdc.com</t>
        </is>
      </c>
      <c r="K98" s="25" t="inlineStr">
        <is>
          <t>(202) 333-4936</t>
        </is>
      </c>
      <c r="L98" s="25" t="inlineStr">
        <is>
          <t>Washington, DC</t>
        </is>
      </c>
      <c r="M98" s="25" t="inlineStr">
        <is>
          <t>DOE, NYSERDA, CEC, NSF</t>
        </is>
      </c>
      <c r="N98" s="25" t="inlineStr">
        <is>
          <t>Clean Tech Startups, Utilities, Research Consortia</t>
        </is>
      </c>
      <c r="O98" s="25" t="inlineStr">
        <is>
          <t>$500M+ federal and state grant applications supported</t>
        </is>
      </c>
      <c r="P98" s="25" t="inlineStr">
        <is>
          <t>Manual FOA decomposition and multi-database research consuming 20+ hours per proposal</t>
        </is>
      </c>
      <c r="Q98" s="25" t="inlineStr">
        <is>
          <t>10-second FOA shredder, 4-part PDF blueprints, and 5-stage capital continuum ledgers</t>
        </is>
      </c>
      <c r="R98" s="25" t="inlineStr">
        <is>
          <t>5-10 seats ($7,500 - $15,000/mo flat rate @ $1,500/seat)</t>
        </is>
      </c>
      <c r="S98" s="26" t="n">
        <v>20000</v>
      </c>
      <c r="T98" s="23" t="inlineStr">
        <is>
          <t>Not Contacted</t>
        </is>
      </c>
      <c r="U98" s="27" t="inlineStr"/>
      <c r="V98" s="27" t="inlineStr"/>
      <c r="W98" s="27" t="inlineStr"/>
      <c r="X98" s="27" t="inlineStr"/>
      <c r="Y98" s="28" t="inlineStr">
        <is>
          <t>Hi Jennifer,
I've been following BGR Group's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BGR Group's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98" s="25" t="inlineStr"/>
    </row>
    <row r="99">
      <c r="A99" s="21" t="n">
        <v>95</v>
      </c>
      <c r="B99" s="11" t="inlineStr">
        <is>
          <t>David Gross</t>
        </is>
      </c>
      <c r="C99" s="12" t="inlineStr">
        <is>
          <t>David</t>
        </is>
      </c>
      <c r="D99" s="12" t="inlineStr">
        <is>
          <t>Executive VP, Energy Practice</t>
        </is>
      </c>
      <c r="E99" s="12" t="inlineStr">
        <is>
          <t>Tier 2: Practice Leader / Director (Budget Approver)</t>
        </is>
      </c>
      <c r="F99" s="11" t="inlineStr">
        <is>
          <t>ML Strategies LLC</t>
        </is>
      </c>
      <c r="G99" s="12" t="inlineStr">
        <is>
          <t>https://energyadvisory.com</t>
        </is>
      </c>
      <c r="H99" s="12" t="inlineStr">
        <is>
          <t>Clean Tech &amp; Energy Advisory</t>
        </is>
      </c>
      <c r="I99" s="12" t="inlineStr">
        <is>
          <t>20-100</t>
        </is>
      </c>
      <c r="J99" s="12" t="inlineStr">
        <is>
          <t>dgross@mlstrategies.com</t>
        </is>
      </c>
      <c r="K99" s="12" t="inlineStr">
        <is>
          <t>(202) 434-7300</t>
        </is>
      </c>
      <c r="L99" s="12" t="inlineStr">
        <is>
          <t>Washington, DC</t>
        </is>
      </c>
      <c r="M99" s="12" t="inlineStr">
        <is>
          <t>DOE, NYSERDA, CEC, NSF</t>
        </is>
      </c>
      <c r="N99" s="12" t="inlineStr">
        <is>
          <t>Clean Tech Startups, Utilities, Research Consortia</t>
        </is>
      </c>
      <c r="O99" s="12" t="inlineStr">
        <is>
          <t>$500M+ federal and state grant applications supported</t>
        </is>
      </c>
      <c r="P99" s="12" t="inlineStr">
        <is>
          <t>Manual FOA decomposition and multi-database research consuming 20+ hours per proposal</t>
        </is>
      </c>
      <c r="Q99" s="12" t="inlineStr">
        <is>
          <t>10-second FOA shredder, 4-part PDF blueprints, and 5-stage capital continuum ledgers</t>
        </is>
      </c>
      <c r="R99" s="12" t="inlineStr">
        <is>
          <t>5-10 seats ($7,500 - $15,000/mo flat rate @ $1,500/seat)</t>
        </is>
      </c>
      <c r="S99" s="15" t="n">
        <v>20000</v>
      </c>
      <c r="T99" s="21" t="inlineStr">
        <is>
          <t>Not Contacted</t>
        </is>
      </c>
      <c r="U99" s="13" t="inlineStr"/>
      <c r="V99" s="13" t="inlineStr"/>
      <c r="W99" s="13" t="inlineStr"/>
      <c r="X99" s="13" t="inlineStr"/>
      <c r="Y99" s="22" t="inlineStr">
        <is>
          <t>Hi David,
I've been following ML Strategies LLC's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ML Strategies LLC's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99" s="12" t="inlineStr"/>
    </row>
    <row r="100">
      <c r="A100" s="23" t="n">
        <v>96</v>
      </c>
      <c r="B100" s="24" t="inlineStr">
        <is>
          <t>Neal Martin</t>
        </is>
      </c>
      <c r="C100" s="25" t="inlineStr">
        <is>
          <t>Neal</t>
        </is>
      </c>
      <c r="D100" s="25" t="inlineStr">
        <is>
          <t>Senior Director of Government Relations</t>
        </is>
      </c>
      <c r="E100" s="25" t="inlineStr">
        <is>
          <t>Tier 2: Practice Leader / Director (Budget Approver)</t>
        </is>
      </c>
      <c r="F100" s="24" t="inlineStr">
        <is>
          <t>ML Strategies LLC</t>
        </is>
      </c>
      <c r="G100" s="25" t="inlineStr">
        <is>
          <t>https://energyadvisory.com</t>
        </is>
      </c>
      <c r="H100" s="25" t="inlineStr">
        <is>
          <t>Clean Tech &amp; Energy Advisory</t>
        </is>
      </c>
      <c r="I100" s="25" t="inlineStr">
        <is>
          <t>20-100</t>
        </is>
      </c>
      <c r="J100" s="25" t="inlineStr">
        <is>
          <t>nmartin@mlstrategies.com</t>
        </is>
      </c>
      <c r="K100" s="25" t="inlineStr">
        <is>
          <t>(202) 434-7300</t>
        </is>
      </c>
      <c r="L100" s="25" t="inlineStr">
        <is>
          <t>Washington, DC</t>
        </is>
      </c>
      <c r="M100" s="25" t="inlineStr">
        <is>
          <t>DOE, NYSERDA, CEC, NSF</t>
        </is>
      </c>
      <c r="N100" s="25" t="inlineStr">
        <is>
          <t>Clean Tech Startups, Utilities, Research Consortia</t>
        </is>
      </c>
      <c r="O100" s="25" t="inlineStr">
        <is>
          <t>$500M+ federal and state grant applications supported</t>
        </is>
      </c>
      <c r="P100" s="25" t="inlineStr">
        <is>
          <t>Manual FOA decomposition and multi-database research consuming 20+ hours per proposal</t>
        </is>
      </c>
      <c r="Q100" s="25" t="inlineStr">
        <is>
          <t>10-second FOA shredder, 4-part PDF blueprints, and 5-stage capital continuum ledgers</t>
        </is>
      </c>
      <c r="R100" s="25" t="inlineStr">
        <is>
          <t>5-10 seats ($7,500 - $15,000/mo flat rate @ $1,500/seat)</t>
        </is>
      </c>
      <c r="S100" s="26" t="n">
        <v>20000</v>
      </c>
      <c r="T100" s="23" t="inlineStr">
        <is>
          <t>Not Contacted</t>
        </is>
      </c>
      <c r="U100" s="27" t="inlineStr"/>
      <c r="V100" s="27" t="inlineStr"/>
      <c r="W100" s="27" t="inlineStr"/>
      <c r="X100" s="27" t="inlineStr"/>
      <c r="Y100" s="28" t="inlineStr">
        <is>
          <t>Hi Neal,
I've been following ML Strategies LLC's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ML Strategies LLC's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100" s="25" t="inlineStr"/>
    </row>
    <row r="101">
      <c r="A101" s="21" t="n">
        <v>97</v>
      </c>
      <c r="B101" s="11" t="inlineStr">
        <is>
          <t>Stephen Humes</t>
        </is>
      </c>
      <c r="C101" s="12" t="inlineStr">
        <is>
          <t>Stephen</t>
        </is>
      </c>
      <c r="D101" s="12" t="inlineStr">
        <is>
          <t>Partner &amp; Energy Practice Co-Chair</t>
        </is>
      </c>
      <c r="E101" s="12" t="inlineStr">
        <is>
          <t>Tier 1: Senior Executive / Partner (Decision Maker)</t>
        </is>
      </c>
      <c r="F101" s="11" t="inlineStr">
        <is>
          <t>Holland &amp; Knight LLP</t>
        </is>
      </c>
      <c r="G101" s="12" t="inlineStr">
        <is>
          <t>https://energyadvisory.com</t>
        </is>
      </c>
      <c r="H101" s="12" t="inlineStr">
        <is>
          <t>Clean Tech &amp; Energy Advisory</t>
        </is>
      </c>
      <c r="I101" s="12" t="inlineStr">
        <is>
          <t>20-100</t>
        </is>
      </c>
      <c r="J101" s="12" t="inlineStr">
        <is>
          <t>stephen.humes@hklaw.com</t>
        </is>
      </c>
      <c r="K101" s="12" t="inlineStr">
        <is>
          <t>(212) 513-3200</t>
        </is>
      </c>
      <c r="L101" s="12" t="inlineStr">
        <is>
          <t>New York, NY</t>
        </is>
      </c>
      <c r="M101" s="12" t="inlineStr">
        <is>
          <t>DOE, NYSERDA, CEC, NSF</t>
        </is>
      </c>
      <c r="N101" s="12" t="inlineStr">
        <is>
          <t>Clean Tech Startups, Utilities, Research Consortia</t>
        </is>
      </c>
      <c r="O101" s="12" t="inlineStr">
        <is>
          <t>$500M+ federal and state grant applications supported</t>
        </is>
      </c>
      <c r="P101" s="12" t="inlineStr">
        <is>
          <t>Manual FOA decomposition and multi-database research consuming 20+ hours per proposal</t>
        </is>
      </c>
      <c r="Q101" s="12" t="inlineStr">
        <is>
          <t>10-second FOA shredder, 4-part PDF blueprints, and 5-stage capital continuum ledgers</t>
        </is>
      </c>
      <c r="R101" s="12" t="inlineStr">
        <is>
          <t>5-10 seats ($7,500 - $15,000/mo flat rate @ $1,500/seat)</t>
        </is>
      </c>
      <c r="S101" s="15" t="n">
        <v>20000</v>
      </c>
      <c r="T101" s="21" t="inlineStr">
        <is>
          <t>Not Contacted</t>
        </is>
      </c>
      <c r="U101" s="13" t="inlineStr"/>
      <c r="V101" s="13" t="inlineStr"/>
      <c r="W101" s="13" t="inlineStr"/>
      <c r="X101" s="13" t="inlineStr"/>
      <c r="Y101" s="22" t="inlineStr">
        <is>
          <t>Hi Stephen,
I've been following Holland &amp; Knight LLP's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Holland &amp; Knight LLP's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101" s="12" t="inlineStr"/>
    </row>
    <row r="102">
      <c r="A102" s="23" t="n">
        <v>98</v>
      </c>
      <c r="B102" s="24" t="inlineStr">
        <is>
          <t>Gautam Oza</t>
        </is>
      </c>
      <c r="C102" s="25" t="inlineStr">
        <is>
          <t>Gautam</t>
        </is>
      </c>
      <c r="D102" s="25" t="inlineStr">
        <is>
          <t>Managing Director</t>
        </is>
      </c>
      <c r="E102" s="25" t="inlineStr">
        <is>
          <t>Tier 1: Senior Executive / Partner (Decision Maker)</t>
        </is>
      </c>
      <c r="F102" s="24" t="inlineStr">
        <is>
          <t>Clean Energy Options LLC</t>
        </is>
      </c>
      <c r="G102" s="25" t="inlineStr">
        <is>
          <t>https://energyadvisory.com</t>
        </is>
      </c>
      <c r="H102" s="25" t="inlineStr">
        <is>
          <t>Clean Tech &amp; Energy Advisory</t>
        </is>
      </c>
      <c r="I102" s="25" t="inlineStr">
        <is>
          <t>20-100</t>
        </is>
      </c>
      <c r="J102" s="25" t="inlineStr">
        <is>
          <t>gautam@cleanenergyoptions.com</t>
        </is>
      </c>
      <c r="K102" s="25" t="inlineStr">
        <is>
          <t>(212) 658-0050</t>
        </is>
      </c>
      <c r="L102" s="25" t="inlineStr">
        <is>
          <t>New York, NY</t>
        </is>
      </c>
      <c r="M102" s="25" t="inlineStr">
        <is>
          <t>DOE, NYSERDA, CEC, NSF</t>
        </is>
      </c>
      <c r="N102" s="25" t="inlineStr">
        <is>
          <t>Clean Tech Startups, Utilities, Research Consortia</t>
        </is>
      </c>
      <c r="O102" s="25" t="inlineStr">
        <is>
          <t>$500M+ federal and state grant applications supported</t>
        </is>
      </c>
      <c r="P102" s="25" t="inlineStr">
        <is>
          <t>Manual FOA decomposition and multi-database research consuming 20+ hours per proposal</t>
        </is>
      </c>
      <c r="Q102" s="25" t="inlineStr">
        <is>
          <t>10-second FOA shredder, 4-part PDF blueprints, and 5-stage capital continuum ledgers</t>
        </is>
      </c>
      <c r="R102" s="25" t="inlineStr">
        <is>
          <t>5-10 seats ($7,500 - $15,000/mo flat rate @ $1,500/seat)</t>
        </is>
      </c>
      <c r="S102" s="26" t="n">
        <v>20000</v>
      </c>
      <c r="T102" s="23" t="inlineStr">
        <is>
          <t>Not Contacted</t>
        </is>
      </c>
      <c r="U102" s="27" t="inlineStr"/>
      <c r="V102" s="27" t="inlineStr"/>
      <c r="W102" s="27" t="inlineStr"/>
      <c r="X102" s="27" t="inlineStr"/>
      <c r="Y102" s="28" t="inlineStr">
        <is>
          <t>Hi Gautam,
I've been following Clean Energy Options LLC's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Clean Energy Options LLC's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102" s="25" t="inlineStr"/>
    </row>
    <row r="103">
      <c r="A103" s="21" t="n">
        <v>99</v>
      </c>
      <c r="B103" s="11" t="inlineStr">
        <is>
          <t>Peter Kelly-Detwiler</t>
        </is>
      </c>
      <c r="C103" s="12" t="inlineStr">
        <is>
          <t>Peter</t>
        </is>
      </c>
      <c r="D103" s="12" t="inlineStr">
        <is>
          <t>Principal</t>
        </is>
      </c>
      <c r="E103" s="12" t="inlineStr">
        <is>
          <t>Tier 1: Senior Executive / Partner (Decision Maker)</t>
        </is>
      </c>
      <c r="F103" s="11" t="inlineStr">
        <is>
          <t>NorthBridge Energy Partners</t>
        </is>
      </c>
      <c r="G103" s="12" t="inlineStr">
        <is>
          <t>https://energyadvisory.com</t>
        </is>
      </c>
      <c r="H103" s="12" t="inlineStr">
        <is>
          <t>Clean Tech &amp; Energy Advisory</t>
        </is>
      </c>
      <c r="I103" s="12" t="inlineStr">
        <is>
          <t>20-100</t>
        </is>
      </c>
      <c r="J103" s="12" t="inlineStr">
        <is>
          <t>peter@northbridgeenergy.com</t>
        </is>
      </c>
      <c r="K103" s="12" t="inlineStr">
        <is>
          <t>(617) 548-5020</t>
        </is>
      </c>
      <c r="L103" s="12" t="inlineStr">
        <is>
          <t>Boston, MA</t>
        </is>
      </c>
      <c r="M103" s="12" t="inlineStr">
        <is>
          <t>DOE, NYSERDA, CEC, NSF</t>
        </is>
      </c>
      <c r="N103" s="12" t="inlineStr">
        <is>
          <t>Clean Tech Startups, Utilities, Research Consortia</t>
        </is>
      </c>
      <c r="O103" s="12" t="inlineStr">
        <is>
          <t>$500M+ federal and state grant applications supported</t>
        </is>
      </c>
      <c r="P103" s="12" t="inlineStr">
        <is>
          <t>Manual FOA decomposition and multi-database research consuming 20+ hours per proposal</t>
        </is>
      </c>
      <c r="Q103" s="12" t="inlineStr">
        <is>
          <t>10-second FOA shredder, 4-part PDF blueprints, and 5-stage capital continuum ledgers</t>
        </is>
      </c>
      <c r="R103" s="12" t="inlineStr">
        <is>
          <t>5-10 seats ($7,500 - $15,000/mo flat rate @ $1,500/seat)</t>
        </is>
      </c>
      <c r="S103" s="15" t="n">
        <v>20000</v>
      </c>
      <c r="T103" s="21" t="inlineStr">
        <is>
          <t>Not Contacted</t>
        </is>
      </c>
      <c r="U103" s="13" t="inlineStr"/>
      <c r="V103" s="13" t="inlineStr"/>
      <c r="W103" s="13" t="inlineStr"/>
      <c r="X103" s="13" t="inlineStr"/>
      <c r="Y103" s="22" t="inlineStr">
        <is>
          <t>Hi Peter,
I've been following NorthBridge Energy Partners's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NorthBridge Energy Partners's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103" s="12" t="inlineStr"/>
    </row>
    <row r="104">
      <c r="A104" s="23" t="n">
        <v>100</v>
      </c>
      <c r="B104" s="24" t="inlineStr">
        <is>
          <t>Michael Terraso</t>
        </is>
      </c>
      <c r="C104" s="25" t="inlineStr">
        <is>
          <t>Michael</t>
        </is>
      </c>
      <c r="D104" s="25" t="inlineStr">
        <is>
          <t>Principal &amp; Director, Environmental Policy</t>
        </is>
      </c>
      <c r="E104" s="25" t="inlineStr">
        <is>
          <t>Tier 1: Senior Executive / Partner (Decision Maker)</t>
        </is>
      </c>
      <c r="F104" s="24" t="inlineStr">
        <is>
          <t>Pioneer Public Affairs</t>
        </is>
      </c>
      <c r="G104" s="25" t="inlineStr">
        <is>
          <t>https://pioneerpublicaffairs.com</t>
        </is>
      </c>
      <c r="H104" s="25" t="inlineStr">
        <is>
          <t>Climate Policy &amp; Clean Energy Procurement</t>
        </is>
      </c>
      <c r="I104" s="25" t="inlineStr">
        <is>
          <t>20-40</t>
        </is>
      </c>
      <c r="J104" s="25" t="inlineStr">
        <is>
          <t>mterraso@pioneerpublicaffairs.com</t>
        </is>
      </c>
      <c r="K104" s="25" t="inlineStr">
        <is>
          <t>(202) 750-1770</t>
        </is>
      </c>
      <c r="L104" s="25" t="inlineStr">
        <is>
          <t>Washington, DC</t>
        </is>
      </c>
      <c r="M104" s="25" t="inlineStr">
        <is>
          <t>DOE, EPA, DOD Clean Energy, Treasury IRA Programs</t>
        </is>
      </c>
      <c r="N104" s="25" t="inlineStr">
        <is>
          <t>Climate Tech Unicorns, Clean Heavy Industry, EV Fleet Operators</t>
        </is>
      </c>
      <c r="O104" s="25" t="inlineStr">
        <is>
          <t>$1.2B+ in IRA &amp; IIJA applications advised</t>
        </is>
      </c>
      <c r="P104" s="25" t="inlineStr">
        <is>
          <t>Navigating statutory compliance clauses (Buy America, Prevailing Wage, Justice40) for rapid client advisory</t>
        </is>
      </c>
      <c r="Q104" s="25" t="inlineStr">
        <is>
          <t>Automated extraction of statutory restrictions, DAC targeting, and cost-share waiver rules across solicitations</t>
        </is>
      </c>
      <c r="R104" s="25" t="inlineStr">
        <is>
          <t>5-10 seats ($7,500 - $15,000/mo flat rate @ $1,500/seat)</t>
        </is>
      </c>
      <c r="S104" s="26" t="n">
        <v>20000</v>
      </c>
      <c r="T104" s="23" t="inlineStr">
        <is>
          <t>Not Contacted</t>
        </is>
      </c>
      <c r="U104" s="27" t="inlineStr"/>
      <c r="V104" s="27" t="inlineStr"/>
      <c r="W104" s="27" t="inlineStr"/>
      <c r="X104" s="27" t="inlineStr"/>
      <c r="Y104" s="28" t="inlineStr">
        <is>
          <t>Hi Michael,
I've been following Pioneer Public Affairs's impressive work advising clean tech and hardtech clients across DOE.
We recently launched the Energy Innovation Terminal (terminal.aixenergy.io) by AIxEnergy, an intelligence platform designed specifically for clean energy grant writing and technical consultancies.
Three capabilities that Pioneer Public Affairs's deal teams find immediately billable to clients:
1. Automated FOA Shredder: Upload any 80-page federal FOA (DOE, ARPA-E, CEC, EPA) and get a structured 4-part Proposal Blueprint in 10 seconds (Reviewer Scoring Rubrics, Mandatory Stage-Gates, Volume Page Limits, and Red-Team Win Strategies).
2. Teaming &amp; Consortia Network: Search 50,000+ past recipient ledgers to identify prime-sub consortium partners with proven past-performance scores.
3. 5-Stage Capital Continuum: Map client grant match against private venture syndicates, IRA Section 48C/45X tax credits, and DOE National Lab testbeds.
Pricing is a flat rate of $1,500 / seat / month (directly billable to client retainers).
I've attached our 2-page Capabilities Brief and a sample FOA Proposal Blueprint PDF.
Would you have 10 minutes this Thursday or Friday for a brief live walkthrough on terminal.aixenergy.io?
Best regards,
Brandon Owens
AIxEnergy | Energy Innovation Terminal
bowens@aixenergy.io | terminal.aixenergy.io</t>
        </is>
      </c>
      <c r="Z104" s="25" t="inlineStr"/>
    </row>
  </sheetData>
  <autoFilter ref="A4:Z104"/>
  <dataValidations count="1">
    <dataValidation sqref="T5:T104" showDropDown="0" showInputMessage="0" showErrorMessage="0" allowBlank="1" type="list">
      <formula1>"Not Contacted,Touch 1 Sent,Touch 2 Sent,Touch 3 Sent,Meeting Booked,Trial Active,Closed Won,Disqualified"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9"/>
  <sheetViews>
    <sheetView showGridLines="1" workbookViewId="0">
      <selection activeCell="A1" sqref="A1"/>
    </sheetView>
  </sheetViews>
  <sheetFormatPr baseColWidth="8" defaultRowHeight="15"/>
  <cols>
    <col width="30" customWidth="1" min="1" max="1"/>
    <col width="95" customWidth="1" min="2" max="2"/>
  </cols>
  <sheetData>
    <row r="1">
      <c r="A1" s="1" t="inlineStr">
        <is>
          <t>High-Converting Multi-Touch Cold Email Sequences</t>
        </is>
      </c>
    </row>
    <row r="2">
      <c r="A2" s="2" t="inlineStr">
        <is>
          <t>Energy Innovation Terminal by AIxEnergy (terminal.aixenergy.io) // 3-Touch Outreach Playbook</t>
        </is>
      </c>
    </row>
    <row r="4">
      <c r="A4" s="29" t="inlineStr">
        <is>
          <t>TOUCH 1: The '10-Second FOA Shredder &amp; Total Grant Suite' Hook (Day 1)</t>
        </is>
      </c>
      <c r="B4" s="5" t="n"/>
    </row>
    <row r="5">
      <c r="A5" s="11" t="inlineStr">
        <is>
          <t>Subject Line:</t>
        </is>
      </c>
      <c r="B5" s="11" t="inlineStr">
        <is>
          <t>Automated FOA shredder + grant intelligence terminal for {{Firm Name}}</t>
        </is>
      </c>
    </row>
    <row r="6">
      <c r="A6" s="11" t="inlineStr">
        <is>
          <t>Recommended Attachments:</t>
        </is>
      </c>
      <c r="B6" s="30" t="inlineStr">
        <is>
          <t>Sample_FOA_Proposal_Blueprint.pdf &amp; Energy_Innovation_Terminal_by_AIxEnergy_Capabilities_Brief.pdf</t>
        </is>
      </c>
    </row>
    <row r="7">
      <c r="A7" s="11" t="inlineStr">
        <is>
          <t>Email Body (Markdown / Text):</t>
        </is>
      </c>
      <c r="B7" s="22" t="inlineStr">
        <is>
          <t>Hi {{First Name}},
Noticed that {{Firm Name}} is actively advising clean tech innovators on major federal and state funding rounds ({{Primary Agency}}).
We built the Energy Innovation Terminal by AIxEnergy (live at terminal.aixenergy.io)—a unified grant and capital intelligence operating system engineered specifically for clean energy consultancies and proposal teams.
While our most popular tool is our 10-Second AI FOA Shredder (which automatically decomposes 80-page solicitations into Reviewer Scoring Rubrics, Mandatory Stage Gates, Submission Volume Checklists, and Red-Team Win Strategies), the Terminal equips your practice with the complete intelligence stack across the entire grant advisory lifecycle:
1. AI FOA Shredder &amp; Proposal Blueprints: Cuts FOA breakdown from 3 days to 10 seconds; exports client-ready PDF blueprints.
2. 50,000+ Past Awardee &amp; Teaming Network: Instantly maps previous winners, national labs, and academic consortia partners across DOE, NYSERDA, CEC, and NSF.
3. 5-Stage Capital Stack Continuum: Unifies non-dilutive grants &lt;-&gt; SEC Form D offerings &lt;-&gt; VC rounds &lt;-&gt; DOE LPO scale-up debt &lt;-&gt; Bayh-Dole patents in single-entity dossiers.
4. Predictive Solicitation Release Forecasting: ML-driven forecasting that alerts you to upcoming FOA drops and recurring cycles 3-6 months before public posting.
5. DOE National Lab Testbed &amp; User Facility Access: Direct directory of testing instruments and proposal deadlines across NREL, LBNL, PNNL, ORNL, NETL, and ANL.
6. IRA Direct Pay &amp; Tax Credit Calculator: Models 30-50% federal direct pay benefits alongside competitive grant awards.
I ran a live shred on a representative clean energy solicitation and attached the complete publication-grade PDF blueprint (Attachment: Sample_FOA_Proposal_Blueprint.pdf) along with our 2-page Capabilities Brief (Attachment: Energy_Innovation_Terminal_by_AIxEnergy_Capabilities_Brief.pdf).
Would you be open to a quick 7-minute look at how our platform eliminates 20+ hours of manual diligence per proposal? You can also explore the live terminal directly at terminal.aixenergy.io.
Best regards,
Brandon Owens
Energy Innovation Terminal by AIxEnergy
terminal.aixenergy.io
contact@aixenergy.io</t>
        </is>
      </c>
    </row>
    <row r="10">
      <c r="A10" s="29" t="inlineStr">
        <is>
          <t>TOUCH 2: The '5-Stage Capital Stack &amp; Client Due Diligence' Deep Dive (Day 4)</t>
        </is>
      </c>
      <c r="B10" s="5" t="n"/>
    </row>
    <row r="11">
      <c r="A11" s="11" t="inlineStr">
        <is>
          <t>Subject Line:</t>
        </is>
      </c>
      <c r="B11" s="11" t="inlineStr">
        <is>
          <t>Re: Automated FOA shredder + grant intelligence terminal for {{Firm Name}}</t>
        </is>
      </c>
    </row>
    <row r="12">
      <c r="A12" s="11" t="inlineStr">
        <is>
          <t>Recommended Attachments:</t>
        </is>
      </c>
      <c r="B12" s="30" t="inlineStr">
        <is>
          <t>Form_Energy_Capital_Intelligence_Dossier.pdf</t>
        </is>
      </c>
    </row>
    <row r="13">
      <c r="A13" s="11" t="inlineStr">
        <is>
          <t>Email Body (Markdown / Text):</t>
        </is>
      </c>
      <c r="B13" s="22" t="inlineStr">
        <is>
          <t>Hi {{First Name}},
Following up on my previous note. Beyond rapid FOA shredding, our consultancy partners rely heavily on the Terminal's 5-Stage Capital Continuum to conduct instant client due diligence and investor readiness mapping.
The Terminal links all historical DOE/ARPA-E grants &lt;-&gt; SEC Form D private equity filings &lt;-&gt; Climate VC rounds &lt;-&gt; DOE LPO debt facilities &lt;-&gt; commercial Bayh-Dole patents into unified entity ledgers.
I've attached our 1-click exported Form Energy Capital Intelligence Dossier (PDF) showing their complete multi-stage capitalization history across $1.2B+ in public awards and private venture backing (Attachment: Form_Energy_Capital_Intelligence_Dossier.pdf).
It replaces 3 to 4 days of manual multi-database research per client. Would Thursday at 2:00 PM ET work for a quick 10-minute walk-through? You can also test drive the live terminal anytime at terminal.aixenergy.io.
Best,
Brandon Owens
Energy Innovation Terminal by AIxEnergy
terminal.aixenergy.io</t>
        </is>
      </c>
    </row>
    <row r="16">
      <c r="A16" s="29" t="inlineStr">
        <is>
          <t>TOUCH 3: The 'Client ROI &amp; Breakup' Note (Day 8)</t>
        </is>
      </c>
      <c r="B16" s="5" t="n"/>
    </row>
    <row r="17">
      <c r="A17" s="11" t="inlineStr">
        <is>
          <t>Subject Line:</t>
        </is>
      </c>
      <c r="B17" s="11" t="inlineStr">
        <is>
          <t>Grant proposal speedup / quick question for {{First Name}}</t>
        </is>
      </c>
    </row>
    <row r="18">
      <c r="A18" s="11" t="inlineStr">
        <is>
          <t>Recommended Attachments:</t>
        </is>
      </c>
      <c r="B18" s="30" t="inlineStr">
        <is>
          <t>Energy_Innovation_Terminal_by_AIxEnergy_Capabilities_Brief.pdf</t>
        </is>
      </c>
    </row>
    <row r="19">
      <c r="A19" s="11" t="inlineStr">
        <is>
          <t>Email Body (Markdown / Text):</t>
        </is>
      </c>
      <c r="B19" s="22" t="inlineStr">
        <is>
          <t>Hi {{First Name}},
I know you're busy running client proposal cycles at {{Firm Name}}.
If you're currently satisfied with manual FOA decomposition in Microsoft Word and searching Grants.gov/SAM.gov by hand, no worries at all—I won't keep following up.
If you ever want to give your proposal managers a 100x speedup with automated scoring rubrics, past-winner teaming radar, predictive release forecasting, and white-labeled PDF exports for your clients, the platform is always accessible at terminal.aixenergy.io.
I've attached our 2-page capabilities brief (Attachment: Energy_Innovation_Terminal_by_AIxEnergy_Capabilities_Brief.pdf) for your records.
Wishing you and the {{Firm Name}} team huge success on upcoming grant cycles!
Best regards,
Brandon Owens
Energy Innovation Terminal by AIxEnergy
terminal.aixenergy.io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showGridLines="1" workbookViewId="0">
      <selection activeCell="A1" sqref="A1"/>
    </sheetView>
  </sheetViews>
  <sheetFormatPr baseColWidth="8" defaultRowHeight="15"/>
  <cols>
    <col width="35" customWidth="1" min="1" max="1"/>
    <col width="45" customWidth="1" min="2" max="2"/>
    <col width="12" customWidth="1" min="3" max="3"/>
    <col width="22" customWidth="1" min="4" max="4"/>
    <col width="45" customWidth="1" min="5" max="5"/>
    <col width="45" customWidth="1" min="6" max="6"/>
  </cols>
  <sheetData>
    <row r="1">
      <c r="A1" s="1" t="inlineStr">
        <is>
          <t>Outreach PDF Attachments &amp; Strategic Deliverables</t>
        </is>
      </c>
    </row>
    <row r="2">
      <c r="A2" s="2" t="inlineStr">
        <is>
          <t>Energy Innovation Terminal by AIxEnergy // Publication-Grade Deliverables Overview</t>
        </is>
      </c>
    </row>
    <row r="4">
      <c r="A4" s="10" t="inlineStr">
        <is>
          <t>Attachment File Name</t>
        </is>
      </c>
      <c r="B4" s="10" t="inlineStr">
        <is>
          <t>Workspace Relative Path</t>
        </is>
      </c>
      <c r="C4" s="10" t="inlineStr">
        <is>
          <t>Size</t>
        </is>
      </c>
      <c r="D4" s="10" t="inlineStr">
        <is>
          <t>Target Outreach Stage</t>
        </is>
      </c>
      <c r="E4" s="10" t="inlineStr">
        <is>
          <t>Key Sections &amp; Data Included</t>
        </is>
      </c>
      <c r="F4" s="10" t="inlineStr">
        <is>
          <t>Strategic Sales Purpose</t>
        </is>
      </c>
    </row>
    <row r="5">
      <c r="A5" s="11" t="inlineStr">
        <is>
          <t>Sample_FOA_Proposal_Blueprint.pdf</t>
        </is>
      </c>
      <c r="B5" s="31" t="inlineStr">
        <is>
          <t>outreach_attachments/Sample_FOA_Proposal_Blueprint.pdf</t>
        </is>
      </c>
      <c r="C5" s="13" t="inlineStr">
        <is>
          <t>7.5 KB</t>
        </is>
      </c>
      <c r="D5" s="21" t="inlineStr">
        <is>
          <t>Touch 1 (Day 1)</t>
        </is>
      </c>
      <c r="E5" s="22" t="inlineStr">
        <is>
          <t>1. Official Reviewer Scoring Rubric (weighted %)
2. Mandatory Compliance Stage Gates (Cost-Share %, BABA, Justice40)
3. Submission Volume Checklist with Page Limits
4. Red-Team Win Strategies &amp; Fatal Flaws</t>
        </is>
      </c>
      <c r="F5" s="22" t="inlineStr">
        <is>
          <t>Proves the 10-second FOA shredding speed and high-fidelity output format. Establishes instant credibility with senior proposal writers.</t>
        </is>
      </c>
    </row>
    <row r="6">
      <c r="A6" s="11" t="inlineStr">
        <is>
          <t>Form_Energy_Capital_Intelligence_Dossier.pdf</t>
        </is>
      </c>
      <c r="B6" s="31" t="inlineStr">
        <is>
          <t>outreach_attachments/Form_Energy_Capital_Intelligence_Dossier.pdf</t>
        </is>
      </c>
      <c r="C6" s="13" t="inlineStr">
        <is>
          <t>6.5 KB</t>
        </is>
      </c>
      <c r="D6" s="21" t="inlineStr">
        <is>
          <t>Touch 2 (Day 4)</t>
        </is>
      </c>
      <c r="E6" s="22" t="inlineStr">
        <is>
          <t>1. Multi-Stage Capital Summary ($1.2B+ across grants &amp; equity)
2. Non-Dilutive Grant Award Ledger
3. SEC Form D Private Offering Filings
4. Venture Capital Rounds &amp; Lead Investors
5. Bayh-Dole Commercial Inventions &amp; USPTO Patents</t>
        </is>
      </c>
      <c r="F6" s="22" t="inlineStr">
        <is>
          <t>Demonstrates complete capital stack tracking across the entire clean tech lifecycle. Replaces 3–4 days of manual client due diligence.</t>
        </is>
      </c>
    </row>
    <row r="7">
      <c r="A7" s="11" t="inlineStr">
        <is>
          <t>Energy_Innovation_Terminal_by_AIxEnergy_Capabilities_Brief.pdf</t>
        </is>
      </c>
      <c r="B7" s="31" t="inlineStr">
        <is>
          <t>outreach_attachments/Energy_Innovation_Terminal_by_AIxEnergy_Capabilities_Brief.pdf</t>
        </is>
      </c>
      <c r="C7" s="13" t="inlineStr">
        <is>
          <t>8.5 KB</t>
        </is>
      </c>
      <c r="D7" s="21" t="inlineStr">
        <is>
          <t>Touch 3 / Executive Brief</t>
        </is>
      </c>
      <c r="E7" s="22" t="inlineStr">
        <is>
          <t>1. Total Focused Platform Matrix (9 Core Modules)
2. 4-Stage Consultancy Workflow Integration Model
3. Commercial Pricing Tiers ($500/mo, $2,000/mo, $5,000/mo)
4. Consultancy ROI Economics ($4k–$7k recovered per proposal)</t>
        </is>
      </c>
      <c r="F7" s="22" t="inlineStr">
        <is>
          <t>Comprehensive 2-page institutional executive brief for practice heads and managing partners deciding on team software budgets.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32" customWidth="1" min="1" max="1"/>
    <col width="32" customWidth="1" min="2" max="2"/>
    <col width="48" customWidth="1" min="3" max="3"/>
    <col width="38" customWidth="1" min="4" max="4"/>
    <col width="35" customWidth="1" min="5" max="5"/>
  </cols>
  <sheetData>
    <row r="1">
      <c r="A1" s="1" t="inlineStr">
        <is>
          <t>Consultancy Objection Handling &amp; Competitive Battlecards</t>
        </is>
      </c>
    </row>
    <row r="2">
      <c r="A2" s="2" t="inlineStr">
        <is>
          <t>Energy Innovation Terminal by AIxEnergy (terminal.aixenergy.io) // Sales Call Playbook</t>
        </is>
      </c>
    </row>
    <row r="4">
      <c r="A4" s="10" t="inlineStr">
        <is>
          <t>Prospect Objection</t>
        </is>
      </c>
      <c r="B4" s="10" t="inlineStr">
        <is>
          <t>Underlying Concern / Status Quo</t>
        </is>
      </c>
      <c r="C4" s="10" t="inlineStr">
        <is>
          <t>Winning Value Talk Track</t>
        </is>
      </c>
      <c r="D4" s="10" t="inlineStr">
        <is>
          <t>Live Terminal Demonstration Hook</t>
        </is>
      </c>
      <c r="E4" s="10" t="inlineStr">
        <is>
          <t>Follow-up Asset to Send</t>
        </is>
      </c>
    </row>
    <row r="5">
      <c r="A5" s="11" t="inlineStr">
        <is>
          <t>"We already use Grants.gov and SAM.gov for free."</t>
        </is>
      </c>
      <c r="B5" s="22" t="inlineStr">
        <is>
          <t>Status quo inertia; prospect assumes Terminal is just another keyword search filter.</t>
        </is>
      </c>
      <c r="C5" s="22" t="inlineStr">
        <is>
          <t>"Grants.gov gives you raw, unformatted 100-page PDF solicitations with zero structured intelligence. We don't just search—our engine shreds that 80-page FOA in 10 seconds into a weighted scoring rubric, verifies statutory compliance stage gates, and indexes all 56,400+ past winners across 140+ federal &amp; state agencies. It saves your proposal team 20+ hours on every application."</t>
        </is>
      </c>
      <c r="D5" s="32" t="inlineStr">
        <is>
          <t>Shred an active DOE OCED or NYSERDA FOA live on screen in 10 seconds; show the instant 4-part PDF download.</t>
        </is>
      </c>
      <c r="E5" s="11" t="inlineStr">
        <is>
          <t>Sample_FOA_Proposal_Blueprint.pdf</t>
        </is>
      </c>
    </row>
    <row r="6">
      <c r="A6" s="11" t="inlineStr">
        <is>
          <t>"We subscribe to PitchBook / Crunchbase."</t>
        </is>
      </c>
      <c r="B6" s="22" t="inlineStr">
        <is>
          <t>Prospect relies on equity venture databases for market intelligence.</t>
        </is>
      </c>
      <c r="C6" s="22" t="inlineStr">
        <is>
          <t>"PitchBook is great for equity rounds, but it is completely blind to non-dilutive public grants, state-level awards (NYSERDA, MassCEC, CEC), and FOA solicitations. We track $104B+ across 140+ federal/state authorities, giving you 6–12 months early pipeline visibility before startups ever raise venture rounds."</t>
        </is>
      </c>
      <c r="D6" s="32" t="inlineStr">
        <is>
          <t>Show the non-dilutive award timeline and state co-funding linkages for a funded clean tech leader.</t>
        </is>
      </c>
      <c r="E6" s="11" t="inlineStr">
        <is>
          <t>Energy_Innovation_Terminal_by_AIxEnergy_Capabilities_Brief.pdf</t>
        </is>
      </c>
    </row>
    <row r="7">
      <c r="A7" s="11" t="inlineStr">
        <is>
          <t>"How do you compare to GovWin (Deltek) or BloombergNEF?"</t>
        </is>
      </c>
      <c r="B7" s="22" t="inlineStr">
        <is>
          <t>Enterprise comparison with broad procurement or macro policy tools.</t>
        </is>
      </c>
      <c r="C7" s="22" t="inlineStr">
        <is>
          <t>"GovWin is built for defense/IT procurement (Lockheed, Boeing) and misses state clean energy programs entirely. BNEF provides high-level macro policy reports but lacks project-level grant data and proposal synthesis tools. We are the dedicated terminal for clean energy innovation with built-in FOA shredding, precedent mapping, and IRA 48C/45X tax credit modeling."</t>
        </is>
      </c>
      <c r="D7" s="32" t="inlineStr">
        <is>
          <t>Demonstrate the 5-Stage Capital Continuum and Bayh-Dole patent linkage on a hardtech recipient like Form Energy.</t>
        </is>
      </c>
      <c r="E7" s="11" t="inlineStr">
        <is>
          <t>Form_Energy_Capital_Intelligence_Dossier.pdf</t>
        </is>
      </c>
    </row>
    <row r="8">
      <c r="A8" s="11" t="inlineStr">
        <is>
          <t>"We do our FOA shredding manually in Microsoft Word/Excel."</t>
        </is>
      </c>
      <c r="B8" s="22" t="inlineStr">
        <is>
          <t>Established billable workflow; afraid of disrupting proposal team habits.</t>
        </is>
      </c>
      <c r="C8" s="22" t="inlineStr">
        <is>
          <t>"Your clients pay you premium rates for high-scoring technical narratives and win strategy, not mechanical copy-pasting of page limit tables. By automating mechanical shredding and compliance matrix generation, your team can submit 3x more proposals per quarter with zero added headcount."</t>
        </is>
      </c>
      <c r="D8" s="32" t="inlineStr">
        <is>
          <t>Show side-by-side comparison: 3 days of manual Word formatting vs 10-second automated ReportLab export.</t>
        </is>
      </c>
      <c r="E8" s="11" t="inlineStr">
        <is>
          <t>Energy_Innovation_Terminal_by_AIxEnergy_Capabilities_Brief.pdf</t>
        </is>
      </c>
    </row>
    <row r="9">
      <c r="A9" s="11" t="inlineStr">
        <is>
          <t>"Can we white-label the reports and blueprints for our clients?"</t>
        </is>
      </c>
      <c r="B9" s="22" t="inlineStr">
        <is>
          <t>Consultancy brand protection; wanting to present intelligence under their own masthead.</t>
        </is>
      </c>
      <c r="C9" s="22" t="inlineStr">
        <is>
          <t>"Yes. All PDF blueprints and recipient dossiers export as native, publication-grade vector documents ready to deliver directly to clients or copy into your firm's proposal templates. Team and Enterprise plans support custom firm branding."</t>
        </is>
      </c>
      <c r="D9" s="32" t="inlineStr">
        <is>
          <t>Show the publication-grade PDF layout and clean typography matching institutional monograph standards.</t>
        </is>
      </c>
      <c r="E9" s="11" t="inlineStr">
        <is>
          <t>Form_Energy_Capital_Intelligence_Dossier.pdf</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showGridLines="1" workbookViewId="0">
      <selection activeCell="A1" sqref="A1"/>
    </sheetView>
  </sheetViews>
  <sheetFormatPr baseColWidth="8" defaultRowHeight="15"/>
  <cols>
    <col width="12" customWidth="1" min="1" max="1"/>
    <col width="36" customWidth="1" min="2" max="2"/>
    <col width="35" customWidth="1" min="3" max="3"/>
    <col width="45" customWidth="1" min="4" max="4"/>
    <col width="36" customWidth="1" min="5" max="5"/>
    <col width="38" customWidth="1" min="6" max="6"/>
  </cols>
  <sheetData>
    <row r="1">
      <c r="A1" s="1" t="inlineStr">
        <is>
          <t>Core Platform Capabilities &amp; Commercial Pricing Architecture</t>
        </is>
      </c>
    </row>
    <row r="2">
      <c r="A2" s="2" t="inlineStr">
        <is>
          <t>Energy Innovation Terminal by AIxEnergy (terminal.aixenergy.io) // Product Suite Specification</t>
        </is>
      </c>
    </row>
    <row r="4">
      <c r="A4" s="9" t="inlineStr">
        <is>
          <t>CORE PLATFORM MODULES (GRANT &amp; CAPITAL INTELLIGENCE ENGINES)</t>
        </is>
      </c>
    </row>
    <row r="5">
      <c r="A5" s="10" t="inlineStr">
        <is>
          <t>Module #</t>
        </is>
      </c>
      <c r="B5" s="10" t="inlineStr">
        <is>
          <t>Capability Module Name</t>
        </is>
      </c>
      <c r="C5" s="10" t="inlineStr">
        <is>
          <t>Technical Data Scope &amp; Engine</t>
        </is>
      </c>
      <c r="D5" s="10" t="inlineStr">
        <is>
          <t>Key Features &amp; Deliverables</t>
        </is>
      </c>
      <c r="E5" s="10" t="inlineStr">
        <is>
          <t>Consultancy Value Impact</t>
        </is>
      </c>
    </row>
    <row r="6">
      <c r="A6" s="21" t="n">
        <v>1</v>
      </c>
      <c r="B6" s="11" t="inlineStr">
        <is>
          <t>AI FOA Shredder &amp; Scoring Rubric Engine</t>
        </is>
      </c>
      <c r="C6" s="12" t="inlineStr">
        <is>
          <t>80+ page federal solicitation NLP/LLM extraction</t>
        </is>
      </c>
      <c r="D6" s="22" t="inlineStr">
        <is>
          <t>Weighted scoring rubrics, mandatory compliance gates, volume page limits, red-team win themes</t>
        </is>
      </c>
      <c r="E6" s="11" t="inlineStr">
        <is>
          <t>Cuts FOA breakdown from 3 days to 10 seconds</t>
        </is>
      </c>
    </row>
    <row r="7">
      <c r="A7" s="21" t="n">
        <v>2</v>
      </c>
      <c r="B7" s="11" t="inlineStr">
        <is>
          <t>56,400+ Past Awardee &amp; Teaming Network</t>
        </is>
      </c>
      <c r="C7" s="12" t="inlineStr">
        <is>
          <t>Historical awards across DOE, NYSERDA, CEC, NSF, ARPA-E</t>
        </is>
      </c>
      <c r="D7" s="22" t="inlineStr">
        <is>
          <t>Past winning primes, university research labs, national labs, co-applicant consortium search</t>
        </is>
      </c>
      <c r="E7" s="11" t="inlineStr">
        <is>
          <t>Assembles winning consortia in 5 minutes</t>
        </is>
      </c>
    </row>
    <row r="8">
      <c r="A8" s="21" t="n">
        <v>3</v>
      </c>
      <c r="B8" s="11" t="inlineStr">
        <is>
          <t>Decision-Maker Say-Yes Matrix</t>
        </is>
      </c>
      <c r="C8" s="12" t="inlineStr">
        <is>
          <t>140+ federal &amp; state agency program manager directories</t>
        </is>
      </c>
      <c r="D8" s="22" t="inlineStr">
        <is>
          <t>Program managers, evaluator priorities, direct points of contact, solicitation alignment</t>
        </is>
      </c>
      <c r="E8" s="11" t="inlineStr">
        <is>
          <t>Direct targeting of agency decision-makers</t>
        </is>
      </c>
    </row>
    <row r="9">
      <c r="A9" s="21" t="n">
        <v>4</v>
      </c>
      <c r="B9" s="11" t="inlineStr">
        <is>
          <t>5-Stage Capital Stack Continuum</t>
        </is>
      </c>
      <c r="C9" s="12" t="inlineStr">
        <is>
          <t>Multi-database financial ledger integration</t>
        </is>
      </c>
      <c r="D9" s="22" t="inlineStr">
        <is>
          <t>Public grants &lt;-&gt; SEC Form D &lt;-&gt; VC rounds &lt;-&gt; LPO debt &lt;-&gt; Bayh-Dole commercial patents</t>
        </is>
      </c>
      <c r="E9" s="11" t="inlineStr">
        <is>
          <t>Eliminates 3–4 days of manual due diligence</t>
        </is>
      </c>
    </row>
    <row r="10">
      <c r="A10" s="21" t="n">
        <v>5</v>
      </c>
      <c r="B10" s="11" t="inlineStr">
        <is>
          <t>Predictive Solicitation Release Forecasting</t>
        </is>
      </c>
      <c r="C10" s="12" t="inlineStr">
        <is>
          <t>Machine-learning temporal recurrence modeling</t>
        </is>
      </c>
      <c r="D10" s="22" t="inlineStr">
        <is>
          <t>Forecasted drop dates, budget appropriations, recurrence cycle history</t>
        </is>
      </c>
      <c r="E10" s="11" t="inlineStr">
        <is>
          <t>Pitches and prepares clients 3–6 months ahead</t>
        </is>
      </c>
    </row>
    <row r="11">
      <c r="A11" s="21" t="n">
        <v>6</v>
      </c>
      <c r="B11" s="11" t="inlineStr">
        <is>
          <t>DOE National Lab Testbed &amp; Facility Directory</t>
        </is>
      </c>
      <c r="C11" s="12" t="inlineStr">
        <is>
          <t>500+ national lab user instruments &amp; testbeds</t>
        </is>
      </c>
      <c r="D11" s="22" t="inlineStr">
        <is>
          <t>NREL, LBNL, PNNL, ORNL, NETL, ANL access mechanisms and proposal deadlines</t>
        </is>
      </c>
      <c r="E11" s="11" t="inlineStr">
        <is>
          <t>Matches clients with required testing facilities</t>
        </is>
      </c>
    </row>
    <row r="12">
      <c r="A12" s="21" t="n">
        <v>7</v>
      </c>
      <c r="B12" s="11" t="inlineStr">
        <is>
          <t>Policy, Codes, Standards &amp; PUC Dockets</t>
        </is>
      </c>
      <c r="C12" s="12" t="inlineStr">
        <is>
          <t>FERC proceedings &amp; state decarbonization mandates</t>
        </is>
      </c>
      <c r="D12" s="22" t="inlineStr">
        <is>
          <t>State climate laws, building efficiency standards, IRA Section 48C/45X/45V tax guidance</t>
        </is>
      </c>
      <c r="E12" s="11" t="inlineStr">
        <is>
          <t>Ensures proposals meet statutory policy goals</t>
        </is>
      </c>
    </row>
    <row r="13">
      <c r="A13" s="21" t="n">
        <v>8</v>
      </c>
      <c r="B13" s="11" t="inlineStr">
        <is>
          <t>IRA Direct Pay &amp; Tax Credit Calculator</t>
        </is>
      </c>
      <c r="C13" s="12" t="inlineStr">
        <is>
          <t>Clean energy project finance modeling</t>
        </is>
      </c>
      <c r="D13" s="22" t="inlineStr">
        <is>
          <t>30–50% federal direct pay benefits, prevailing wage multipliers, domestic content adders</t>
        </is>
      </c>
      <c r="E13" s="11" t="inlineStr">
        <is>
          <t>Models project capital stacks alongside grants</t>
        </is>
      </c>
    </row>
    <row r="14">
      <c r="A14" s="21" t="n">
        <v>9</v>
      </c>
      <c r="B14" s="11" t="inlineStr">
        <is>
          <t>Publication-Grade 1-Click Vector PDF Exports</t>
        </is>
      </c>
      <c r="C14" s="12" t="inlineStr">
        <is>
          <t>Native ReportLab vector PDF document engine</t>
        </is>
      </c>
      <c r="D14" s="22" t="inlineStr">
        <is>
          <t>Multi-page FOA proposal blueprints and recipient dossiers ready for client delivery</t>
        </is>
      </c>
      <c r="E14" s="11" t="inlineStr">
        <is>
          <t>Directly billable client-ready deliverables</t>
        </is>
      </c>
    </row>
    <row r="17">
      <c r="A17" s="9" t="inlineStr">
        <is>
          <t>COMMERCIAL LICENSING TIERS &amp; ROI ECONOMICS</t>
        </is>
      </c>
    </row>
    <row r="18">
      <c r="A18" s="33" t="inlineStr">
        <is>
          <t>Plan Tier</t>
        </is>
      </c>
      <c r="B18" s="33" t="inlineStr">
        <is>
          <t>Target Practice</t>
        </is>
      </c>
      <c r="C18" s="33" t="inlineStr">
        <is>
          <t>Included Seats &amp; Quotas</t>
        </is>
      </c>
      <c r="D18" s="33" t="inlineStr">
        <is>
          <t>Monthly Price</t>
        </is>
      </c>
      <c r="E18" s="33" t="inlineStr">
        <is>
          <t>Annual Billing</t>
        </is>
      </c>
      <c r="F18" s="33" t="inlineStr">
        <is>
          <t>Consultancy ROI Economics</t>
        </is>
      </c>
    </row>
    <row r="19">
      <c r="A19" s="11" t="inlineStr">
        <is>
          <t>Practitioner Seat</t>
        </is>
      </c>
      <c r="B19" s="12" t="inlineStr">
        <is>
          <t>Solo Grant Writers &amp; Boutique Advisors</t>
        </is>
      </c>
      <c r="C19" s="22" t="inlineStr">
        <is>
          <t>1 Named Seat • Unlimited FOA Shreds • 56k+ Database • Vector PDF Exports</t>
        </is>
      </c>
      <c r="D19" s="21" t="inlineStr">
        <is>
          <t>$1,500 / month</t>
        </is>
      </c>
      <c r="E19" s="13" t="inlineStr">
        <is>
          <t>$15,000 / year ($1,250/mo)</t>
        </is>
      </c>
      <c r="F19" s="34" t="inlineStr">
        <is>
          <t>Saves 20 hours/mo + 1 extra grant win ($60k fee) = 4x–10x ROI</t>
        </is>
      </c>
    </row>
    <row r="20">
      <c r="A20" s="11" t="inlineStr">
        <is>
          <t>Boutique Team</t>
        </is>
      </c>
      <c r="B20" s="12" t="inlineStr">
        <is>
          <t>Grant Consultancies &amp; Gov Affairs Practices</t>
        </is>
      </c>
      <c r="C20" s="22" t="inlineStr">
        <is>
          <t>3 Team Seats • Consortia Teaming Radar • White-Label PDFs • Predictive Radar</t>
        </is>
      </c>
      <c r="D20" s="21" t="inlineStr">
        <is>
          <t>$4,500 / month</t>
        </is>
      </c>
      <c r="E20" s="13" t="inlineStr">
        <is>
          <t>$45,000 / year ($3,750/mo)</t>
        </is>
      </c>
      <c r="F20" s="34" t="inlineStr">
        <is>
          <t>Saves 60+ hours/mo across deal team (6x net ROI)</t>
        </is>
      </c>
    </row>
    <row r="21">
      <c r="A21" s="11" t="inlineStr">
        <is>
          <t>Practice Group</t>
        </is>
      </c>
      <c r="B21" s="12" t="inlineStr">
        <is>
          <t>Consulting Firms &amp; Clean Tech Practice Groups</t>
        </is>
      </c>
      <c r="C21" s="22" t="inlineStr">
        <is>
          <t>5–10 Seats • Team Collaboration • Central Billing • Priority Tech Support</t>
        </is>
      </c>
      <c r="D21" s="21" t="inlineStr">
        <is>
          <t>$7,500 / month</t>
        </is>
      </c>
      <c r="E21" s="13" t="inlineStr">
        <is>
          <t>$75,000 / year ($6,250/mo)</t>
        </is>
      </c>
      <c r="F21" s="34" t="inlineStr">
        <is>
          <t>Deploys across entire clean energy grant &amp; diligence practice</t>
        </is>
      </c>
    </row>
    <row r="22">
      <c r="A22" s="11" t="inlineStr">
        <is>
          <t>Enterprise Practice</t>
        </is>
      </c>
      <c r="B22" s="12" t="inlineStr">
        <is>
          <t>Global Energy Advisory (ICF, Guidehouse, Big 4)</t>
        </is>
      </c>
      <c r="C22" s="22" t="inlineStr">
        <is>
          <t>15+ Seats • Direct REST API • Custom Ingestion Feeds • Dedicated Support SLA</t>
        </is>
      </c>
      <c r="D22" s="21" t="inlineStr">
        <is>
          <t>Custom Invoice</t>
        </is>
      </c>
      <c r="E22" s="13" t="inlineStr">
        <is>
          <t>Volume Enterprise SLA</t>
        </is>
      </c>
      <c r="F22" s="34" t="inlineStr">
        <is>
          <t>Full practice integration with dedicated support &amp; custom pipeline feeds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2026-09-09T16:46:25Z</dcterms:created>
  <dcterms:modified xmlns:dcterms="http://purl.org/dc/terms/" xmlns:xsi="http://www.w3.org/2001/XMLSchema-instance" xsi:type="dcterms:W3CDTF">2026-09-09T16:46:25Z</dcterms:modified>
</cp:coreProperties>
</file>