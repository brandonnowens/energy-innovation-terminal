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amp; KPIs" sheetId="1" state="visible" r:id="rId1"/>
    <sheet xmlns:r="http://schemas.openxmlformats.org/officeDocument/2006/relationships" name="Top 100 Leads CRM" sheetId="2" state="visible" r:id="rId2"/>
    <sheet xmlns:r="http://schemas.openxmlformats.org/officeDocument/2006/relationships" name="Email Sequences" sheetId="3" state="visible" r:id="rId3"/>
    <sheet xmlns:r="http://schemas.openxmlformats.org/officeDocument/2006/relationships" name="Attachments Guide" sheetId="4" state="visible" r:id="rId4"/>
    <sheet xmlns:r="http://schemas.openxmlformats.org/officeDocument/2006/relationships" name="Objection Handling" sheetId="5" state="visible" r:id="rId5"/>
    <sheet xmlns:r="http://schemas.openxmlformats.org/officeDocument/2006/relationships" name="Capabilities &amp; Pricing" sheetId="6" state="visible" r:id="rId6"/>
  </sheets>
  <definedNames>
    <definedName name="_xlnm._FilterDatabase" localSheetId="1" hidden="1">'Top 100 Leads CRM'!$A$4:$Z$104</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16">
    <font>
      <name val="Calibri"/>
      <family val="2"/>
      <color theme="1"/>
      <sz val="11"/>
      <scheme val="minor"/>
    </font>
    <font>
      <name val="Segoe UI"/>
      <b val="1"/>
      <color rgb="000F172A"/>
      <sz val="16"/>
    </font>
    <font>
      <name val="Segoe UI"/>
      <i val="1"/>
      <color rgb="000284C7"/>
      <sz val="10"/>
    </font>
    <font>
      <name val="Segoe UI"/>
      <b val="1"/>
      <color rgb="00059669"/>
      <sz val="9"/>
    </font>
    <font>
      <name val="Segoe UI"/>
      <b val="1"/>
      <color rgb="00475569"/>
      <sz val="9"/>
    </font>
    <font>
      <name val="Segoe UI"/>
      <b val="1"/>
      <color rgb="000284C7"/>
      <sz val="20"/>
    </font>
    <font>
      <name val="Segoe UI"/>
      <i val="1"/>
      <color rgb="0064748B"/>
      <sz val="8"/>
    </font>
    <font>
      <name val="Segoe UI"/>
      <b val="1"/>
      <color rgb="000F172A"/>
      <sz val="12"/>
    </font>
    <font>
      <name val="Segoe UI"/>
      <b val="1"/>
      <color rgb="00FFFFFF"/>
      <sz val="10"/>
    </font>
    <font>
      <name val="Segoe UI"/>
      <b val="1"/>
      <color rgb="000F172A"/>
      <sz val="9.5"/>
    </font>
    <font>
      <name val="Segoe UI"/>
      <color rgb="000F172A"/>
      <sz val="9.5"/>
    </font>
    <font>
      <name val="Segoe UI"/>
      <b val="1"/>
      <color rgb="000F172A"/>
      <sz val="10"/>
    </font>
    <font>
      <name val="Segoe UI"/>
      <i val="1"/>
      <color rgb="000284C7"/>
      <sz val="9.5"/>
    </font>
    <font>
      <name val="Segoe UI"/>
      <color rgb="000284C7"/>
      <sz val="9"/>
    </font>
    <font>
      <name val="Segoe UI"/>
      <i val="1"/>
      <color rgb="000284C7"/>
      <sz val="9"/>
    </font>
    <font>
      <name val="Segoe UI"/>
      <b val="1"/>
      <color rgb="00059669"/>
      <sz val="9.5"/>
    </font>
  </fonts>
  <fills count="7">
    <fill>
      <patternFill/>
    </fill>
    <fill>
      <patternFill patternType="gray125"/>
    </fill>
    <fill>
      <patternFill patternType="solid">
        <fgColor rgb="00F1F5F9"/>
        <bgColor rgb="00F1F5F9"/>
      </patternFill>
    </fill>
    <fill>
      <patternFill patternType="solid">
        <fgColor rgb="000F172A"/>
        <bgColor rgb="000F172A"/>
      </patternFill>
    </fill>
    <fill>
      <patternFill patternType="solid">
        <fgColor rgb="00F8FAFC"/>
        <bgColor rgb="00F8FAFC"/>
      </patternFill>
    </fill>
    <fill>
      <patternFill patternType="solid">
        <fgColor rgb="00ECFDF5"/>
        <bgColor rgb="00ECFDF5"/>
      </patternFill>
    </fill>
    <fill>
      <patternFill patternType="solid">
        <fgColor rgb="001E293B"/>
        <bgColor rgb="001E293B"/>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0F172A"/>
      </bottom>
    </border>
    <border>
      <top style="thin">
        <color rgb="00CBD5E1"/>
      </top>
      <bottom style="double">
        <color rgb="000F172A"/>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xf>
    <xf numFmtId="0" fontId="0" fillId="0" borderId="1" pivotButton="0" quotePrefix="0" xfId="0"/>
    <xf numFmtId="0" fontId="5" fillId="2" borderId="1" applyAlignment="1" pivotButton="0" quotePrefix="0" xfId="0">
      <alignment horizontal="center" vertical="center"/>
    </xf>
    <xf numFmtId="164" fontId="5" fillId="2" borderId="1" applyAlignment="1" pivotButton="0" quotePrefix="0" xfId="0">
      <alignment horizontal="center" vertical="center"/>
    </xf>
    <xf numFmtId="0" fontId="6" fillId="2" borderId="1" applyAlignment="1" pivotButton="0" quotePrefix="0" xfId="0">
      <alignment horizontal="center" vertical="center"/>
    </xf>
    <xf numFmtId="0" fontId="7" fillId="0" borderId="0" pivotButton="0" quotePrefix="0" xfId="0"/>
    <xf numFmtId="0" fontId="8" fillId="3" borderId="2" applyAlignment="1" pivotButton="0" quotePrefix="0" xfId="0">
      <alignment horizontal="center" vertical="center"/>
    </xf>
    <xf numFmtId="0" fontId="9" fillId="0" borderId="1" pivotButton="0" quotePrefix="0" xfId="0"/>
    <xf numFmtId="0" fontId="10" fillId="0" borderId="1" pivotButton="0" quotePrefix="0" xfId="0"/>
    <xf numFmtId="0" fontId="10" fillId="0" borderId="1" applyAlignment="1" pivotButton="0" quotePrefix="0" xfId="0">
      <alignment horizontal="center" vertical="center"/>
    </xf>
    <xf numFmtId="165" fontId="10" fillId="0" borderId="1" applyAlignment="1" pivotButton="0" quotePrefix="0" xfId="0">
      <alignment horizontal="right" vertical="center"/>
    </xf>
    <xf numFmtId="164" fontId="10" fillId="0" borderId="1" applyAlignment="1" pivotButton="0" quotePrefix="0" xfId="0">
      <alignment horizontal="right" vertical="center"/>
    </xf>
    <xf numFmtId="0" fontId="11" fillId="0" borderId="3" pivotButton="0" quotePrefix="0" xfId="0"/>
    <xf numFmtId="0" fontId="9" fillId="0" borderId="3" applyAlignment="1" pivotButton="0" quotePrefix="0" xfId="0">
      <alignment horizontal="center" vertical="center"/>
    </xf>
    <xf numFmtId="165" fontId="9" fillId="0" borderId="3" applyAlignment="1" pivotButton="0" quotePrefix="0" xfId="0">
      <alignment horizontal="right" vertical="center"/>
    </xf>
    <xf numFmtId="164" fontId="9" fillId="0" borderId="3" applyAlignment="1" pivotButton="0" quotePrefix="0" xfId="0">
      <alignment horizontal="right" vertical="center"/>
    </xf>
    <xf numFmtId="0" fontId="0" fillId="0" borderId="3" pivotButton="0" quotePrefix="0" xfId="0"/>
    <xf numFmtId="0" fontId="9" fillId="0" borderId="1" applyAlignment="1" pivotButton="0" quotePrefix="0" xfId="0">
      <alignment horizontal="center" vertical="center"/>
    </xf>
    <xf numFmtId="0" fontId="10" fillId="0" borderId="1" applyAlignment="1" pivotButton="0" quotePrefix="0" xfId="0">
      <alignment horizontal="left" vertical="top" wrapText="1"/>
    </xf>
    <xf numFmtId="0" fontId="9" fillId="4" borderId="1" applyAlignment="1" pivotButton="0" quotePrefix="0" xfId="0">
      <alignment horizontal="center" vertical="center"/>
    </xf>
    <xf numFmtId="0" fontId="9" fillId="4" borderId="1" pivotButton="0" quotePrefix="0" xfId="0"/>
    <xf numFmtId="0" fontId="10" fillId="4" borderId="1" pivotButton="0" quotePrefix="0" xfId="0"/>
    <xf numFmtId="164" fontId="10" fillId="4" borderId="1" applyAlignment="1" pivotButton="0" quotePrefix="0" xfId="0">
      <alignment horizontal="right" vertical="center"/>
    </xf>
    <xf numFmtId="0" fontId="10" fillId="4" borderId="1" applyAlignment="1" pivotButton="0" quotePrefix="0" xfId="0">
      <alignment horizontal="center" vertical="center"/>
    </xf>
    <xf numFmtId="0" fontId="10" fillId="4" borderId="1" applyAlignment="1" pivotButton="0" quotePrefix="0" xfId="0">
      <alignment horizontal="left" vertical="top" wrapText="1"/>
    </xf>
    <xf numFmtId="0" fontId="7" fillId="5" borderId="1" pivotButton="0" quotePrefix="0" xfId="0"/>
    <xf numFmtId="0" fontId="12" fillId="0" borderId="1" pivotButton="0" quotePrefix="0" xfId="0"/>
    <xf numFmtId="0" fontId="13" fillId="0" borderId="1" pivotButton="0" quotePrefix="0" xfId="0"/>
    <xf numFmtId="0" fontId="14" fillId="0" borderId="1" applyAlignment="1" pivotButton="0" quotePrefix="0" xfId="0">
      <alignment horizontal="left" vertical="top" wrapText="1"/>
    </xf>
    <xf numFmtId="0" fontId="8" fillId="6" borderId="2" applyAlignment="1" pivotButton="0" quotePrefix="0" xfId="0">
      <alignment horizontal="center" vertical="center"/>
    </xf>
    <xf numFmtId="0" fontId="1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4" customWidth="1" min="1" max="1"/>
    <col width="28" customWidth="1" min="2" max="2"/>
    <col width="15" customWidth="1" min="3" max="3"/>
    <col width="15" customWidth="1" min="4" max="4"/>
    <col width="20" customWidth="1" min="5" max="5"/>
    <col width="42" customWidth="1" min="6" max="6"/>
    <col width="4" customWidth="1" min="7" max="7"/>
    <col width="26" customWidth="1" min="8" max="8"/>
    <col width="32" customWidth="1" min="9" max="9"/>
    <col width="20" customWidth="1" min="10" max="10"/>
    <col width="20" customWidth="1" min="11" max="11"/>
    <col width="20" customWidth="1" min="12" max="12"/>
  </cols>
  <sheetData>
    <row r="1">
      <c r="A1" s="1" t="inlineStr">
        <is>
          <t>Energy Innovation Terminal by AIxEnergy</t>
        </is>
      </c>
    </row>
    <row r="2">
      <c r="A2" s="2" t="inlineStr">
        <is>
          <t>Top 100 Grant Writing &amp; Clean Tech Consultancies // Sales Campaign Cockpit &amp; CRM Tracker</t>
        </is>
      </c>
    </row>
    <row r="3">
      <c r="A3" s="3" t="inlineStr">
        <is>
          <t>Live Terminal: https://terminal.aixenergy.io  |  Target Audience: Managing Partners, Practice VPs, Grant Strategists</t>
        </is>
      </c>
    </row>
    <row r="5">
      <c r="B5" s="4" t="inlineStr">
        <is>
          <t>Total Target Leads</t>
        </is>
      </c>
      <c r="C5" s="5" t="n"/>
      <c r="E5" s="4" t="inlineStr">
        <is>
          <t>Target Monthly ARR</t>
        </is>
      </c>
      <c r="F5" s="5" t="n"/>
      <c r="H5" s="4" t="inlineStr">
        <is>
          <t>Avg Deal Potential</t>
        </is>
      </c>
      <c r="I5" s="5" t="n"/>
      <c r="K5" s="4" t="inlineStr">
        <is>
          <t>Closed Revenue (Won)</t>
        </is>
      </c>
      <c r="L5" s="5" t="n"/>
    </row>
    <row r="6">
      <c r="B6" s="6">
        <f>COUNTA('Top 100 Leads CRM'!A5:A104)</f>
        <v/>
      </c>
      <c r="C6" s="5" t="n"/>
      <c r="E6" s="7">
        <f>SUM('Top 100 Leads CRM'!S5:S104)</f>
        <v/>
      </c>
      <c r="F6" s="5" t="n"/>
      <c r="H6" s="7">
        <f>AVERAGE('Top 100 Leads CRM'!S5:S104)</f>
        <v/>
      </c>
      <c r="I6" s="5" t="n"/>
      <c r="K6" s="7">
        <f>SUMIF('Top 100 Leads CRM'!T5:T104, "Closed Won", 'Top 100 Leads CRM'!S5:S104)</f>
        <v/>
      </c>
      <c r="L6" s="5" t="n"/>
    </row>
    <row r="7">
      <c r="B7" s="8" t="inlineStr">
        <is>
          <t>100 Verified Consultancies</t>
        </is>
      </c>
      <c r="C7" s="5" t="n"/>
      <c r="E7" s="8" t="inlineStr">
        <is>
          <t>Calculated Target Pipeline</t>
        </is>
      </c>
      <c r="F7" s="5" t="n"/>
      <c r="H7" s="8" t="inlineStr">
        <is>
          <t>Per Consultancy / Month</t>
        </is>
      </c>
      <c r="I7" s="5" t="n"/>
      <c r="K7" s="8" t="inlineStr">
        <is>
          <t>Live Cash / ARR</t>
        </is>
      </c>
      <c r="L7" s="5" t="n"/>
    </row>
    <row r="10">
      <c r="B10" s="9" t="inlineStr">
        <is>
          <t>OUTREACH PIPELINE STATUS TRACKER</t>
        </is>
      </c>
      <c r="H10" s="9" t="inlineStr">
        <is>
          <t>QUICK START OUTREACH EXECUTION GUIDE</t>
        </is>
      </c>
    </row>
    <row r="12">
      <c r="B12" s="10" t="inlineStr">
        <is>
          <t>Outreach Stage</t>
        </is>
      </c>
      <c r="C12" s="10" t="inlineStr">
        <is>
          <t>Contact Count</t>
        </is>
      </c>
      <c r="D12" s="10" t="inlineStr">
        <is>
          <t>% of Pipeline</t>
        </is>
      </c>
      <c r="E12" s="10" t="inlineStr">
        <is>
          <t>Target Monthly ARR</t>
        </is>
      </c>
      <c r="F12" s="10" t="inlineStr">
        <is>
          <t>Action Required</t>
        </is>
      </c>
      <c r="H12" s="11" t="inlineStr">
        <is>
          <t>1. Immediate Live Review</t>
        </is>
      </c>
      <c r="I12" s="12" t="inlineStr">
        <is>
          <t>Open terminal.aixenergy.io to verify live search, 50k+ awards, and instant FOA shredding.</t>
        </is>
      </c>
      <c r="J12" s="5" t="n"/>
      <c r="K12" s="5" t="n"/>
      <c r="L12" s="5" t="n"/>
    </row>
    <row r="13">
      <c r="B13" s="11" t="inlineStr">
        <is>
          <t>Not Contacted</t>
        </is>
      </c>
      <c r="C13" s="13">
        <f>COUNTIF('Top 100 Leads CRM'!T5:T104, "Not Contacted")</f>
        <v/>
      </c>
      <c r="D13" s="14">
        <f>C13/100</f>
        <v/>
      </c>
      <c r="E13" s="15">
        <f>SUMIF('Top 100 Leads CRM'!T5:T104, "Not Contacted", 'Top 100 Leads CRM'!S5:S104)</f>
        <v/>
      </c>
      <c r="F13" s="12" t="inlineStr">
        <is>
          <t>Send Touch 1 Cold Email + PDF Attachments</t>
        </is>
      </c>
      <c r="H13" s="11" t="inlineStr">
        <is>
          <t>2. Locate Attachments</t>
        </is>
      </c>
      <c r="I13" s="12" t="inlineStr">
        <is>
          <t>Grab the 3 PDF files located in the 'outreach_attachments/' folder in your workspace.</t>
        </is>
      </c>
      <c r="J13" s="5" t="n"/>
      <c r="K13" s="5" t="n"/>
      <c r="L13" s="5" t="n"/>
    </row>
    <row r="14">
      <c r="B14" s="11" t="inlineStr">
        <is>
          <t>Touch 1 Sent (Hook)</t>
        </is>
      </c>
      <c r="C14" s="13">
        <f>COUNTIF('Top 100 Leads CRM'!T5:T104, "Touch 1 Sent")</f>
        <v/>
      </c>
      <c r="D14" s="14">
        <f>C14/100</f>
        <v/>
      </c>
      <c r="E14" s="15">
        <f>SUMIF('Top 100 Leads CRM'!T5:T104, "Touch 1 Sent", 'Top 100 Leads CRM'!S5:S104)</f>
        <v/>
      </c>
      <c r="F14" s="12" t="inlineStr">
        <is>
          <t>Schedule Day 4 Follow-up (Touch 2)</t>
        </is>
      </c>
      <c r="H14" s="11" t="inlineStr">
        <is>
          <t>3. Execute Touch 1</t>
        </is>
      </c>
      <c r="I14" s="12" t="inlineStr">
        <is>
          <t>Copy the Touch 1 sequence from Tab 'Email Sequences' (or use personalized column V in 'Top 100 Leads CRM').</t>
        </is>
      </c>
      <c r="J14" s="5" t="n"/>
      <c r="K14" s="5" t="n"/>
      <c r="L14" s="5" t="n"/>
    </row>
    <row r="15">
      <c r="B15" s="11" t="inlineStr">
        <is>
          <t>Touch 2 Sent (Continuum)</t>
        </is>
      </c>
      <c r="C15" s="13">
        <f>COUNTIF('Top 100 Leads CRM'!T5:T104, "Touch 2 Sent")</f>
        <v/>
      </c>
      <c r="D15" s="14">
        <f>C15/100</f>
        <v/>
      </c>
      <c r="E15" s="15">
        <f>SUMIF('Top 100 Leads CRM'!T5:T104, "Touch 2 Sent", 'Top 100 Leads CRM'!S5:S104)</f>
        <v/>
      </c>
      <c r="F15" s="12" t="inlineStr">
        <is>
          <t>Schedule Day 8 Breakup (Touch 3)</t>
        </is>
      </c>
      <c r="H15" s="11" t="inlineStr">
        <is>
          <t>4. Attach Key Files</t>
        </is>
      </c>
      <c r="I15" s="12" t="inlineStr">
        <is>
          <t>Attach Sample_FOA_Proposal_Blueprint.pdf and Capabilities Brief PDF to Touch 1.</t>
        </is>
      </c>
      <c r="J15" s="5" t="n"/>
      <c r="K15" s="5" t="n"/>
      <c r="L15" s="5" t="n"/>
    </row>
    <row r="16">
      <c r="B16" s="11" t="inlineStr">
        <is>
          <t>Touch 3 Sent (Breakup)</t>
        </is>
      </c>
      <c r="C16" s="13">
        <f>COUNTIF('Top 100 Leads CRM'!T5:T104, "Touch 3 Sent")</f>
        <v/>
      </c>
      <c r="D16" s="14">
        <f>C16/100</f>
        <v/>
      </c>
      <c r="E16" s="15">
        <f>SUMIF('Top 100 Leads CRM'!T5:T104, "Touch 3 Sent", 'Top 100 Leads CRM'!S5:S104)</f>
        <v/>
      </c>
      <c r="F16" s="12" t="inlineStr">
        <is>
          <t>Move to Nurture / Retarget in 30 Days</t>
        </is>
      </c>
      <c r="H16" s="11" t="inlineStr">
        <is>
          <t>5. Update Status</t>
        </is>
      </c>
      <c r="I16" s="12" t="inlineStr">
        <is>
          <t>Mark status as 'Touch 1 Sent' in Tab 'Top 100 Leads CRM' and set follow-up date for Day 4.</t>
        </is>
      </c>
      <c r="J16" s="5" t="n"/>
      <c r="K16" s="5" t="n"/>
      <c r="L16" s="5" t="n"/>
    </row>
    <row r="17">
      <c r="B17" s="11" t="inlineStr">
        <is>
          <t>Meeting / Demo Booked</t>
        </is>
      </c>
      <c r="C17" s="13">
        <f>COUNTIF('Top 100 Leads CRM'!T5:T104, "Meeting Booked")</f>
        <v/>
      </c>
      <c r="D17" s="14">
        <f>C17/100</f>
        <v/>
      </c>
      <c r="E17" s="15">
        <f>SUMIF('Top 100 Leads CRM'!T5:T104, "Meeting Booked", 'Top 100 Leads CRM'!S5:S104)</f>
        <v/>
      </c>
      <c r="F17" s="12" t="inlineStr">
        <is>
          <t>Conduct 10-Min Live Terminal Demo</t>
        </is>
      </c>
    </row>
    <row r="18">
      <c r="B18" s="11" t="inlineStr">
        <is>
          <t>Active 7-Day Trial</t>
        </is>
      </c>
      <c r="C18" s="13">
        <f>COUNTIF('Top 100 Leads CRM'!T5:T104, "Trial Active")</f>
        <v/>
      </c>
      <c r="D18" s="14">
        <f>C18/100</f>
        <v/>
      </c>
      <c r="E18" s="15">
        <f>SUMIF('Top 100 Leads CRM'!T5:T104, "Trial Active", 'Top 100 Leads CRM'!S5:S104)</f>
        <v/>
      </c>
      <c r="F18" s="12" t="inlineStr">
        <is>
          <t>Send Custom Shred for Client FOA</t>
        </is>
      </c>
    </row>
    <row r="19">
      <c r="B19" s="11" t="inlineStr">
        <is>
          <t>Closed Won (Paid)</t>
        </is>
      </c>
      <c r="C19" s="13">
        <f>COUNTIF('Top 100 Leads CRM'!T5:T104, "Closed Won")</f>
        <v/>
      </c>
      <c r="D19" s="14">
        <f>C19/100</f>
        <v/>
      </c>
      <c r="E19" s="15">
        <f>SUMIF('Top 100 Leads CRM'!T5:T104, "Closed Won", 'Top 100 Leads CRM'!S5:S104)</f>
        <v/>
      </c>
      <c r="F19" s="12" t="inlineStr">
        <is>
          <t>Onboard Proposal Team &amp; Issue License</t>
        </is>
      </c>
    </row>
    <row r="20">
      <c r="B20" s="11" t="inlineStr">
        <is>
          <t>Disqualified / Unresponsive</t>
        </is>
      </c>
      <c r="C20" s="13">
        <f>COUNTIF('Top 100 Leads CRM'!T5:T104, "Disqualified")</f>
        <v/>
      </c>
      <c r="D20" s="14">
        <f>C20/100</f>
        <v/>
      </c>
      <c r="E20" s="15">
        <f>SUMIF('Top 100 Leads CRM'!T5:T104, "Disqualified", 'Top 100 Leads CRM'!S5:S104)</f>
        <v/>
      </c>
      <c r="F20" s="12" t="inlineStr">
        <is>
          <t>Archive Record</t>
        </is>
      </c>
    </row>
    <row r="21">
      <c r="B21" s="16" t="inlineStr">
        <is>
          <t>TOTAL PIPELINE</t>
        </is>
      </c>
      <c r="C21" s="17">
        <f>SUM(C13:C20)</f>
        <v/>
      </c>
      <c r="D21" s="18">
        <f>SUM(D13:D20)</f>
        <v/>
      </c>
      <c r="E21" s="19">
        <f>SUM(E13:E20)</f>
        <v/>
      </c>
      <c r="F21" s="20" t="n"/>
    </row>
  </sheetData>
  <mergeCells count="12">
    <mergeCell ref="B6:C6"/>
    <mergeCell ref="K7:L7"/>
    <mergeCell ref="E6:F6"/>
    <mergeCell ref="H6:I6"/>
    <mergeCell ref="B7:C7"/>
    <mergeCell ref="E7:F7"/>
    <mergeCell ref="B5:C5"/>
    <mergeCell ref="H7:I7"/>
    <mergeCell ref="E5:F5"/>
    <mergeCell ref="K5:L5"/>
    <mergeCell ref="H5:I5"/>
    <mergeCell ref="K6:L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0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4" customWidth="1" min="3" max="3"/>
    <col width="28" customWidth="1" min="4" max="4"/>
    <col width="28" customWidth="1" min="5" max="5"/>
    <col width="28" customWidth="1" min="6" max="6"/>
    <col width="24" customWidth="1" min="7" max="7"/>
    <col width="34" customWidth="1" min="8" max="8"/>
    <col width="14" customWidth="1" min="9" max="9"/>
    <col width="28" customWidth="1" min="10" max="10"/>
    <col width="18" customWidth="1" min="11" max="11"/>
    <col width="20" customWidth="1" min="12" max="12"/>
    <col width="32" customWidth="1" min="13" max="13"/>
    <col width="34" customWidth="1" min="14" max="14"/>
    <col width="28" customWidth="1" min="15" max="15"/>
    <col width="38" customWidth="1" min="16" max="16"/>
    <col width="38" customWidth="1" min="17" max="17"/>
    <col width="28" customWidth="1" min="18" max="18"/>
    <col width="18" customWidth="1" min="19" max="19"/>
    <col width="18" customWidth="1" min="20" max="20"/>
    <col width="14" customWidth="1" min="21" max="21"/>
    <col width="14" customWidth="1" min="22" max="22"/>
    <col width="14" customWidth="1" min="23" max="23"/>
    <col width="14" customWidth="1" min="24" max="24"/>
    <col width="45" customWidth="1" min="25" max="25"/>
    <col width="30" customWidth="1" min="26" max="26"/>
  </cols>
  <sheetData>
    <row r="1">
      <c r="A1" s="1" t="inlineStr">
        <is>
          <t>Top 100 Grant Writing &amp; Clean Tech Consultancies Directory</t>
        </is>
      </c>
    </row>
    <row r="2">
      <c r="A2" s="2" t="inlineStr">
        <is>
          <t>Energy Innovation Terminal by AIxEnergy (terminal.aixenergy.io) // CRM Outreach Lead Roster</t>
        </is>
      </c>
    </row>
    <row r="4">
      <c r="A4" s="10" t="inlineStr">
        <is>
          <t>ID</t>
        </is>
      </c>
      <c r="B4" s="10" t="inlineStr">
        <is>
          <t>Contact Name</t>
        </is>
      </c>
      <c r="C4" s="10" t="inlineStr">
        <is>
          <t>First Name</t>
        </is>
      </c>
      <c r="D4" s="10" t="inlineStr">
        <is>
          <t>Title / Role</t>
        </is>
      </c>
      <c r="E4" s="10" t="inlineStr">
        <is>
          <t>Seniority Level</t>
        </is>
      </c>
      <c r="F4" s="10" t="inlineStr">
        <is>
          <t>Firm / Company</t>
        </is>
      </c>
      <c r="G4" s="10" t="inlineStr">
        <is>
          <t>Website</t>
        </is>
      </c>
      <c r="H4" s="10" t="inlineStr">
        <is>
          <t>Category / Specialty</t>
        </is>
      </c>
      <c r="I4" s="10" t="inlineStr">
        <is>
          <t>Headcount</t>
        </is>
      </c>
      <c r="J4" s="10" t="inlineStr">
        <is>
          <t>Direct Email</t>
        </is>
      </c>
      <c r="K4" s="10" t="inlineStr">
        <is>
          <t>Phone Number</t>
        </is>
      </c>
      <c r="L4" s="10" t="inlineStr">
        <is>
          <t>HQ Location</t>
        </is>
      </c>
      <c r="M4" s="10" t="inlineStr">
        <is>
          <t>Primary Agencies Supported</t>
        </is>
      </c>
      <c r="N4" s="10" t="inlineStr">
        <is>
          <t>Target Client Types</t>
        </is>
      </c>
      <c r="O4" s="10" t="inlineStr">
        <is>
          <t>Estimated Grant Volume</t>
        </is>
      </c>
      <c r="P4" s="10" t="inlineStr">
        <is>
          <t>Urgent Pain Point</t>
        </is>
      </c>
      <c r="Q4" s="10" t="inlineStr">
        <is>
          <t>Value Hook / Pitch Angle</t>
        </is>
      </c>
      <c r="R4" s="10" t="inlineStr">
        <is>
          <t>Estimated Seats</t>
        </is>
      </c>
      <c r="S4" s="10" t="inlineStr">
        <is>
          <t>Est. Monthly ARR ($)</t>
        </is>
      </c>
      <c r="T4" s="10" t="inlineStr">
        <is>
          <t>Outreach Status</t>
        </is>
      </c>
      <c r="U4" s="10" t="inlineStr">
        <is>
          <t>Touch 1 Date</t>
        </is>
      </c>
      <c r="V4" s="10" t="inlineStr">
        <is>
          <t>Touch 2 Date</t>
        </is>
      </c>
      <c r="W4" s="10" t="inlineStr">
        <is>
          <t>Touch 3 Date</t>
        </is>
      </c>
      <c r="X4" s="10" t="inlineStr">
        <is>
          <t>Demo Booked Date</t>
        </is>
      </c>
      <c r="Y4" s="10" t="inlineStr">
        <is>
          <t>Personalized Touch 1 Email Copy</t>
        </is>
      </c>
      <c r="Z4" s="10" t="inlineStr">
        <is>
          <t>Notes / Next Steps</t>
        </is>
      </c>
    </row>
    <row r="5">
      <c r="A5" s="21" t="n">
        <v>1</v>
      </c>
      <c r="B5" s="11" t="inlineStr">
        <is>
          <t>Brandon Hurlbut</t>
        </is>
      </c>
      <c r="C5" s="12" t="inlineStr">
        <is>
          <t>Brandon</t>
        </is>
      </c>
      <c r="D5" s="12" t="inlineStr">
        <is>
          <t>Co-Founder &amp; Partner</t>
        </is>
      </c>
      <c r="E5" s="12" t="inlineStr">
        <is>
          <t>Tier 1: Senior Executive / Partner (Decision Maker)</t>
        </is>
      </c>
      <c r="F5" s="11" t="inlineStr">
        <is>
          <t>Boundary Stone Partners</t>
        </is>
      </c>
      <c r="G5" s="12" t="inlineStr">
        <is>
          <t>https://boundarystone.com</t>
        </is>
      </c>
      <c r="H5" s="12" t="inlineStr">
        <is>
          <t>Boutique Clean Tech Grant &amp; Federal Strategy</t>
        </is>
      </c>
      <c r="I5" s="12" t="inlineStr">
        <is>
          <t>50-100</t>
        </is>
      </c>
      <c r="J5" s="12" t="inlineStr">
        <is>
          <t>bhurlbut@boundarystone.com</t>
        </is>
      </c>
      <c r="K5" s="12" t="inlineStr">
        <is>
          <t>(202) 800-4740</t>
        </is>
      </c>
      <c r="L5" s="12" t="inlineStr">
        <is>
          <t>Washington, DC</t>
        </is>
      </c>
      <c r="M5" s="12" t="inlineStr">
        <is>
          <t>DOE (OCED, LPO, ARPA-E, EERE, FECM), IRA Section 48C / 45X, EPA CPRG</t>
        </is>
      </c>
      <c r="N5" s="12" t="inlineStr">
        <is>
          <t>Series A-D Hardtech, Long-Duration Storage, Clean Hydrogen, Nuclear SMRs</t>
        </is>
      </c>
      <c r="O5" s="12" t="inlineStr">
        <is>
          <t>$2B+ in federal applications supported</t>
        </is>
      </c>
      <c r="P5" s="12" t="inlineStr">
        <is>
          <t>High client volume requiring rapid FOA decomposition, Community Benefits Plan (CBP) matrix building, and cost-share modeling</t>
        </is>
      </c>
      <c r="Q5" s="12" t="inlineStr">
        <is>
          <t>10-second FOA shredder, 5-stage co-investor networks, and predictive grant release forecasting</t>
        </is>
      </c>
      <c r="R5" s="12" t="inlineStr">
        <is>
          <t>5-10 seats ($3,500 - $7,000/mo)</t>
        </is>
      </c>
      <c r="S5" s="15" t="n">
        <v>4000</v>
      </c>
      <c r="T5" s="21" t="inlineStr">
        <is>
          <t>Not Contacted</t>
        </is>
      </c>
      <c r="U5" s="13" t="inlineStr"/>
      <c r="V5" s="13" t="inlineStr"/>
      <c r="W5" s="13" t="inlineStr"/>
      <c r="X5" s="13" t="inlineStr"/>
      <c r="Y5" s="22" t="inlineStr">
        <is>
          <t>Hi Brandon,
Noticed Boundary Stone Partners is actively advising clean tech innovators on major federal and state funding rounds (DOE (OCED).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 s="12" t="inlineStr"/>
    </row>
    <row r="6">
      <c r="A6" s="23" t="n">
        <v>2</v>
      </c>
      <c r="B6" s="24" t="inlineStr">
        <is>
          <t>Jeff Navin</t>
        </is>
      </c>
      <c r="C6" s="25" t="inlineStr">
        <is>
          <t>Jeff</t>
        </is>
      </c>
      <c r="D6" s="25" t="inlineStr">
        <is>
          <t>Co-Founder &amp; Partner</t>
        </is>
      </c>
      <c r="E6" s="25" t="inlineStr">
        <is>
          <t>Tier 1: Senior Executive / Partner (Decision Maker)</t>
        </is>
      </c>
      <c r="F6" s="24" t="inlineStr">
        <is>
          <t>Boundary Stone Partners</t>
        </is>
      </c>
      <c r="G6" s="25" t="inlineStr">
        <is>
          <t>https://boundarystone.com</t>
        </is>
      </c>
      <c r="H6" s="25" t="inlineStr">
        <is>
          <t>Boutique Clean Tech Grant &amp; Federal Strategy</t>
        </is>
      </c>
      <c r="I6" s="25" t="inlineStr">
        <is>
          <t>50-100</t>
        </is>
      </c>
      <c r="J6" s="25" t="inlineStr">
        <is>
          <t>jnavin@boundarystone.com</t>
        </is>
      </c>
      <c r="K6" s="25" t="inlineStr">
        <is>
          <t>(202) 800-4740</t>
        </is>
      </c>
      <c r="L6" s="25" t="inlineStr">
        <is>
          <t>Washington, DC</t>
        </is>
      </c>
      <c r="M6" s="25" t="inlineStr">
        <is>
          <t>DOE (OCED, LPO, ARPA-E, EERE, FECM), IRA Section 48C / 45X, EPA CPRG</t>
        </is>
      </c>
      <c r="N6" s="25" t="inlineStr">
        <is>
          <t>Series A-D Hardtech, Long-Duration Storage, Clean Hydrogen, Nuclear SMRs</t>
        </is>
      </c>
      <c r="O6" s="25" t="inlineStr">
        <is>
          <t>$2B+ in federal applications supported</t>
        </is>
      </c>
      <c r="P6" s="25" t="inlineStr">
        <is>
          <t>High client volume requiring rapid FOA decomposition, Community Benefits Plan (CBP) matrix building, and cost-share modeling</t>
        </is>
      </c>
      <c r="Q6" s="25" t="inlineStr">
        <is>
          <t>10-second FOA shredder, 5-stage co-investor networks, and predictive grant release forecasting</t>
        </is>
      </c>
      <c r="R6" s="25" t="inlineStr">
        <is>
          <t>5-10 seats ($3,500 - $7,000/mo)</t>
        </is>
      </c>
      <c r="S6" s="26" t="n">
        <v>4000</v>
      </c>
      <c r="T6" s="23" t="inlineStr">
        <is>
          <t>Not Contacted</t>
        </is>
      </c>
      <c r="U6" s="27" t="inlineStr"/>
      <c r="V6" s="27" t="inlineStr"/>
      <c r="W6" s="27" t="inlineStr"/>
      <c r="X6" s="27" t="inlineStr"/>
      <c r="Y6" s="28" t="inlineStr">
        <is>
          <t>Hi Jeff,
Noticed Boundary Stone Partners is actively advising clean tech innovators on major federal and state funding rounds (DOE (OCED).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 s="25" t="inlineStr"/>
    </row>
    <row r="7">
      <c r="A7" s="21" t="n">
        <v>3</v>
      </c>
      <c r="B7" s="11" t="inlineStr">
        <is>
          <t>Christine Turner</t>
        </is>
      </c>
      <c r="C7" s="12" t="inlineStr">
        <is>
          <t>Christine</t>
        </is>
      </c>
      <c r="D7" s="12" t="inlineStr">
        <is>
          <t>Partner, Clean Tech Practice</t>
        </is>
      </c>
      <c r="E7" s="12" t="inlineStr">
        <is>
          <t>Tier 1: Senior Executive / Partner (Decision Maker)</t>
        </is>
      </c>
      <c r="F7" s="11" t="inlineStr">
        <is>
          <t>Boundary Stone Partners</t>
        </is>
      </c>
      <c r="G7" s="12" t="inlineStr">
        <is>
          <t>https://boundarystone.com</t>
        </is>
      </c>
      <c r="H7" s="12" t="inlineStr">
        <is>
          <t>Boutique Clean Tech Grant &amp; Federal Strategy</t>
        </is>
      </c>
      <c r="I7" s="12" t="inlineStr">
        <is>
          <t>50-100</t>
        </is>
      </c>
      <c r="J7" s="12" t="inlineStr">
        <is>
          <t>cturner@boundarystone.com</t>
        </is>
      </c>
      <c r="K7" s="12" t="inlineStr">
        <is>
          <t>(202) 800-4740</t>
        </is>
      </c>
      <c r="L7" s="12" t="inlineStr">
        <is>
          <t>Washington, DC</t>
        </is>
      </c>
      <c r="M7" s="12" t="inlineStr">
        <is>
          <t>DOE (OCED, LPO, ARPA-E, EERE, FECM), IRA Section 48C / 45X, EPA CPRG</t>
        </is>
      </c>
      <c r="N7" s="12" t="inlineStr">
        <is>
          <t>Series A-D Hardtech, Long-Duration Storage, Clean Hydrogen, Nuclear SMRs</t>
        </is>
      </c>
      <c r="O7" s="12" t="inlineStr">
        <is>
          <t>$2B+ in federal applications supported</t>
        </is>
      </c>
      <c r="P7" s="12" t="inlineStr">
        <is>
          <t>High client volume requiring rapid FOA decomposition, Community Benefits Plan (CBP) matrix building, and cost-share modeling</t>
        </is>
      </c>
      <c r="Q7" s="12" t="inlineStr">
        <is>
          <t>10-second FOA shredder, 5-stage co-investor networks, and predictive grant release forecasting</t>
        </is>
      </c>
      <c r="R7" s="12" t="inlineStr">
        <is>
          <t>5-10 seats ($3,500 - $7,000/mo)</t>
        </is>
      </c>
      <c r="S7" s="15" t="n">
        <v>4000</v>
      </c>
      <c r="T7" s="21" t="inlineStr">
        <is>
          <t>Not Contacted</t>
        </is>
      </c>
      <c r="U7" s="13" t="inlineStr"/>
      <c r="V7" s="13" t="inlineStr"/>
      <c r="W7" s="13" t="inlineStr"/>
      <c r="X7" s="13" t="inlineStr"/>
      <c r="Y7" s="22" t="inlineStr">
        <is>
          <t>Hi Christine,
Noticed Boundary Stone Partners is actively advising clean tech innovators on major federal and state funding rounds (DOE (OCED).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 s="12" t="inlineStr"/>
    </row>
    <row r="8">
      <c r="A8" s="23" t="n">
        <v>4</v>
      </c>
      <c r="B8" s="24" t="inlineStr">
        <is>
          <t>Michael McAllister</t>
        </is>
      </c>
      <c r="C8" s="25" t="inlineStr">
        <is>
          <t>Michael</t>
        </is>
      </c>
      <c r="D8" s="25" t="inlineStr">
        <is>
          <t>Managing Partner &amp; Co-Founder</t>
        </is>
      </c>
      <c r="E8" s="25" t="inlineStr">
        <is>
          <t>Tier 1: Senior Executive / Partner (Decision Maker)</t>
        </is>
      </c>
      <c r="F8" s="24" t="inlineStr">
        <is>
          <t>McAllister &amp; Quinn</t>
        </is>
      </c>
      <c r="G8" s="25" t="inlineStr">
        <is>
          <t>https://jm-aq.com</t>
        </is>
      </c>
      <c r="H8" s="25" t="inlineStr">
        <is>
          <t>Federal Grant Consulting &amp; Higher-Ed Consortia</t>
        </is>
      </c>
      <c r="I8" s="25" t="inlineStr">
        <is>
          <t>80-150</t>
        </is>
      </c>
      <c r="J8" s="25" t="inlineStr">
        <is>
          <t>mmcallister@jm-aq.com</t>
        </is>
      </c>
      <c r="K8" s="25" t="inlineStr">
        <is>
          <t>(202) 296-2722</t>
        </is>
      </c>
      <c r="L8" s="25" t="inlineStr">
        <is>
          <t>Washington, DC</t>
        </is>
      </c>
      <c r="M8" s="25" t="inlineStr">
        <is>
          <t>DOE, NSF, DOD (DARPA/DIU), USDA, NIH</t>
        </is>
      </c>
      <c r="N8" s="25" t="inlineStr">
        <is>
          <t>Research Universities, Hardtech Consortia, Energy Startups, Defense Contractors</t>
        </is>
      </c>
      <c r="O8" s="25" t="inlineStr">
        <is>
          <t>$1.5B+ won across federal agencies</t>
        </is>
      </c>
      <c r="P8" s="25" t="inlineStr">
        <is>
          <t>Matching academic researchers with commercial energy partners and building multi-institution teaming matrices under tight deadlines</t>
        </is>
      </c>
      <c r="Q8" s="25" t="inlineStr">
        <is>
          <t>Instant agency historical award ledger search across 50,000+ past recipients and deterministic teaming gap analysis</t>
        </is>
      </c>
      <c r="R8" s="25" t="inlineStr">
        <is>
          <t>8-15 seats ($5,000 - $10,000/mo)</t>
        </is>
      </c>
      <c r="S8" s="26" t="n">
        <v>15000</v>
      </c>
      <c r="T8" s="23" t="inlineStr">
        <is>
          <t>Not Contacted</t>
        </is>
      </c>
      <c r="U8" s="27" t="inlineStr"/>
      <c r="V8" s="27" t="inlineStr"/>
      <c r="W8" s="27" t="inlineStr"/>
      <c r="X8" s="27" t="inlineStr"/>
      <c r="Y8" s="28" t="inlineStr">
        <is>
          <t>Hi Michael,
Noticed McAllister &amp; Quinn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 s="25" t="inlineStr"/>
    </row>
    <row r="9">
      <c r="A9" s="21" t="n">
        <v>5</v>
      </c>
      <c r="B9" s="11" t="inlineStr">
        <is>
          <t>Andrew Quinn</t>
        </is>
      </c>
      <c r="C9" s="12" t="inlineStr">
        <is>
          <t>Andrew</t>
        </is>
      </c>
      <c r="D9" s="12" t="inlineStr">
        <is>
          <t>Managing Partner &amp; Co-Founder</t>
        </is>
      </c>
      <c r="E9" s="12" t="inlineStr">
        <is>
          <t>Tier 1: Senior Executive / Partner (Decision Maker)</t>
        </is>
      </c>
      <c r="F9" s="11" t="inlineStr">
        <is>
          <t>McAllister &amp; Quinn</t>
        </is>
      </c>
      <c r="G9" s="12" t="inlineStr">
        <is>
          <t>https://jm-aq.com</t>
        </is>
      </c>
      <c r="H9" s="12" t="inlineStr">
        <is>
          <t>Federal Grant Consulting &amp; Higher-Ed Consortia</t>
        </is>
      </c>
      <c r="I9" s="12" t="inlineStr">
        <is>
          <t>80-150</t>
        </is>
      </c>
      <c r="J9" s="12" t="inlineStr">
        <is>
          <t>aquinn@jm-aq.com</t>
        </is>
      </c>
      <c r="K9" s="12" t="inlineStr">
        <is>
          <t>(202) 296-2722</t>
        </is>
      </c>
      <c r="L9" s="12" t="inlineStr">
        <is>
          <t>Washington, DC</t>
        </is>
      </c>
      <c r="M9" s="12" t="inlineStr">
        <is>
          <t>DOE, NSF, DOD (DARPA/DIU), USDA, NIH</t>
        </is>
      </c>
      <c r="N9" s="12" t="inlineStr">
        <is>
          <t>Research Universities, Hardtech Consortia, Energy Startups, Defense Contractors</t>
        </is>
      </c>
      <c r="O9" s="12" t="inlineStr">
        <is>
          <t>$1.5B+ won across federal agencies</t>
        </is>
      </c>
      <c r="P9" s="12" t="inlineStr">
        <is>
          <t>Matching academic researchers with commercial energy partners and building multi-institution teaming matrices under tight deadlines</t>
        </is>
      </c>
      <c r="Q9" s="12" t="inlineStr">
        <is>
          <t>Instant agency historical award ledger search across 50,000+ past recipients and deterministic teaming gap analysis</t>
        </is>
      </c>
      <c r="R9" s="12" t="inlineStr">
        <is>
          <t>8-15 seats ($5,000 - $10,000/mo)</t>
        </is>
      </c>
      <c r="S9" s="15" t="n">
        <v>15000</v>
      </c>
      <c r="T9" s="21" t="inlineStr">
        <is>
          <t>Not Contacted</t>
        </is>
      </c>
      <c r="U9" s="13" t="inlineStr"/>
      <c r="V9" s="13" t="inlineStr"/>
      <c r="W9" s="13" t="inlineStr"/>
      <c r="X9" s="13" t="inlineStr"/>
      <c r="Y9" s="22" t="inlineStr">
        <is>
          <t>Hi Andrew,
Noticed McAllister &amp; Quinn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 s="12" t="inlineStr"/>
    </row>
    <row r="10">
      <c r="A10" s="23" t="n">
        <v>6</v>
      </c>
      <c r="B10" s="24" t="inlineStr">
        <is>
          <t>Jessica Bowron</t>
        </is>
      </c>
      <c r="C10" s="25" t="inlineStr">
        <is>
          <t>Jessica</t>
        </is>
      </c>
      <c r="D10" s="25" t="inlineStr">
        <is>
          <t>Managing Director, Energy &amp; Defense</t>
        </is>
      </c>
      <c r="E10" s="25" t="inlineStr">
        <is>
          <t>Tier 1: Senior Executive / Partner (Decision Maker)</t>
        </is>
      </c>
      <c r="F10" s="24" t="inlineStr">
        <is>
          <t>McAllister &amp; Quinn</t>
        </is>
      </c>
      <c r="G10" s="25" t="inlineStr">
        <is>
          <t>https://jm-aq.com</t>
        </is>
      </c>
      <c r="H10" s="25" t="inlineStr">
        <is>
          <t>Federal Grant Consulting &amp; Higher-Ed Consortia</t>
        </is>
      </c>
      <c r="I10" s="25" t="inlineStr">
        <is>
          <t>80-150</t>
        </is>
      </c>
      <c r="J10" s="25" t="inlineStr">
        <is>
          <t>jbowron@jm-aq.com</t>
        </is>
      </c>
      <c r="K10" s="25" t="inlineStr">
        <is>
          <t>(202) 296-2722</t>
        </is>
      </c>
      <c r="L10" s="25" t="inlineStr">
        <is>
          <t>Washington, DC</t>
        </is>
      </c>
      <c r="M10" s="25" t="inlineStr">
        <is>
          <t>DOE, NSF, DOD (DARPA/DIU), USDA, NIH</t>
        </is>
      </c>
      <c r="N10" s="25" t="inlineStr">
        <is>
          <t>Research Universities, Hardtech Consortia, Energy Startups, Defense Contractors</t>
        </is>
      </c>
      <c r="O10" s="25" t="inlineStr">
        <is>
          <t>$1.5B+ won across federal agencies</t>
        </is>
      </c>
      <c r="P10" s="25" t="inlineStr">
        <is>
          <t>Matching academic researchers with commercial energy partners and building multi-institution teaming matrices under tight deadlines</t>
        </is>
      </c>
      <c r="Q10" s="25" t="inlineStr">
        <is>
          <t>Instant agency historical award ledger search across 50,000+ past recipients and deterministic teaming gap analysis</t>
        </is>
      </c>
      <c r="R10" s="25" t="inlineStr">
        <is>
          <t>8-15 seats ($5,000 - $10,000/mo)</t>
        </is>
      </c>
      <c r="S10" s="26" t="n">
        <v>15000</v>
      </c>
      <c r="T10" s="23" t="inlineStr">
        <is>
          <t>Not Contacted</t>
        </is>
      </c>
      <c r="U10" s="27" t="inlineStr"/>
      <c r="V10" s="27" t="inlineStr"/>
      <c r="W10" s="27" t="inlineStr"/>
      <c r="X10" s="27" t="inlineStr"/>
      <c r="Y10" s="28" t="inlineStr">
        <is>
          <t>Hi Jessica,
Noticed McAllister &amp; Quinn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 s="25" t="inlineStr"/>
    </row>
    <row r="11">
      <c r="A11" s="21" t="n">
        <v>7</v>
      </c>
      <c r="B11" s="11" t="inlineStr">
        <is>
          <t>April Burke</t>
        </is>
      </c>
      <c r="C11" s="12" t="inlineStr">
        <is>
          <t>April</t>
        </is>
      </c>
      <c r="D11" s="12" t="inlineStr">
        <is>
          <t>President &amp; Founder</t>
        </is>
      </c>
      <c r="E11" s="12" t="inlineStr">
        <is>
          <t>Tier 1: Senior Executive / Partner (Decision Maker)</t>
        </is>
      </c>
      <c r="F11" s="11" t="inlineStr">
        <is>
          <t>Lewis-Burke Associates LLC</t>
        </is>
      </c>
      <c r="G11" s="12" t="inlineStr">
        <is>
          <t>https://lewis-burke.com</t>
        </is>
      </c>
      <c r="H11" s="12" t="inlineStr">
        <is>
          <t>Government Relations &amp; National Lab Strategy</t>
        </is>
      </c>
      <c r="I11" s="12" t="inlineStr">
        <is>
          <t>40-70</t>
        </is>
      </c>
      <c r="J11" s="12" t="inlineStr">
        <is>
          <t>april@lewis-burke.com</t>
        </is>
      </c>
      <c r="K11" s="12" t="inlineStr">
        <is>
          <t>(202) 289-7475</t>
        </is>
      </c>
      <c r="L11" s="12" t="inlineStr">
        <is>
          <t>Washington, DC</t>
        </is>
      </c>
      <c r="M11" s="12" t="inlineStr">
        <is>
          <t>DOE Office of Science, ARPA-E, National Labs, NSF TIP</t>
        </is>
      </c>
      <c r="N11" s="12" t="inlineStr">
        <is>
          <t>National Laboratories, Leading STEM Research Universities, Clean Tech Consortia</t>
        </is>
      </c>
      <c r="O11" s="12" t="inlineStr">
        <is>
          <t>$1B+ in federal program funding supported</t>
        </is>
      </c>
      <c r="P11" s="12" t="inlineStr">
        <is>
          <t>Tracking upcoming solicitations before official FOA release and monitoring agency budget allocations across federal dockets</t>
        </is>
      </c>
      <c r="Q11" s="12" t="inlineStr">
        <is>
          <t>Predictive FOA release forecasting, national lab testbed access, and Bayh-Dole patent linkages</t>
        </is>
      </c>
      <c r="R11" s="12" t="inlineStr">
        <is>
          <t>4-8 seats ($2,500 - $5,000/mo)</t>
        </is>
      </c>
      <c r="S11" s="15" t="n">
        <v>6000</v>
      </c>
      <c r="T11" s="21" t="inlineStr">
        <is>
          <t>Not Contacted</t>
        </is>
      </c>
      <c r="U11" s="13" t="inlineStr"/>
      <c r="V11" s="13" t="inlineStr"/>
      <c r="W11" s="13" t="inlineStr"/>
      <c r="X11" s="13" t="inlineStr"/>
      <c r="Y11" s="22" t="inlineStr">
        <is>
          <t>Hi April,
Noticed Lewis-Burke Associates LLC is actively advising clean tech innovators on major federal and state funding rounds (DOE Office of Science).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1" s="12" t="inlineStr"/>
    </row>
    <row r="12">
      <c r="A12" s="23" t="n">
        <v>8</v>
      </c>
      <c r="B12" s="24" t="inlineStr">
        <is>
          <t>Jack Miller</t>
        </is>
      </c>
      <c r="C12" s="25" t="inlineStr">
        <is>
          <t>Jack</t>
        </is>
      </c>
      <c r="D12" s="25" t="inlineStr">
        <is>
          <t>Vice President, Energy Practice</t>
        </is>
      </c>
      <c r="E12" s="25" t="inlineStr">
        <is>
          <t>Tier 1: Senior Executive / Partner (Decision Maker)</t>
        </is>
      </c>
      <c r="F12" s="24" t="inlineStr">
        <is>
          <t>Lewis-Burke Associates LLC</t>
        </is>
      </c>
      <c r="G12" s="25" t="inlineStr">
        <is>
          <t>https://lewis-burke.com</t>
        </is>
      </c>
      <c r="H12" s="25" t="inlineStr">
        <is>
          <t>Government Relations &amp; National Lab Strategy</t>
        </is>
      </c>
      <c r="I12" s="25" t="inlineStr">
        <is>
          <t>40-70</t>
        </is>
      </c>
      <c r="J12" s="25" t="inlineStr">
        <is>
          <t>jack@lewis-burke.com</t>
        </is>
      </c>
      <c r="K12" s="25" t="inlineStr">
        <is>
          <t>(202) 289-7475</t>
        </is>
      </c>
      <c r="L12" s="25" t="inlineStr">
        <is>
          <t>Washington, DC</t>
        </is>
      </c>
      <c r="M12" s="25" t="inlineStr">
        <is>
          <t>DOE Office of Science, ARPA-E, National Labs, NSF TIP</t>
        </is>
      </c>
      <c r="N12" s="25" t="inlineStr">
        <is>
          <t>National Laboratories, Leading STEM Research Universities, Clean Tech Consortia</t>
        </is>
      </c>
      <c r="O12" s="25" t="inlineStr">
        <is>
          <t>$1B+ in federal program funding supported</t>
        </is>
      </c>
      <c r="P12" s="25" t="inlineStr">
        <is>
          <t>Tracking upcoming solicitations before official FOA release and monitoring agency budget allocations across federal dockets</t>
        </is>
      </c>
      <c r="Q12" s="25" t="inlineStr">
        <is>
          <t>Predictive FOA release forecasting, national lab testbed access, and Bayh-Dole patent linkages</t>
        </is>
      </c>
      <c r="R12" s="25" t="inlineStr">
        <is>
          <t>4-8 seats ($2,500 - $5,000/mo)</t>
        </is>
      </c>
      <c r="S12" s="26" t="n">
        <v>6000</v>
      </c>
      <c r="T12" s="23" t="inlineStr">
        <is>
          <t>Not Contacted</t>
        </is>
      </c>
      <c r="U12" s="27" t="inlineStr"/>
      <c r="V12" s="27" t="inlineStr"/>
      <c r="W12" s="27" t="inlineStr"/>
      <c r="X12" s="27" t="inlineStr"/>
      <c r="Y12" s="28" t="inlineStr">
        <is>
          <t>Hi Jack,
Noticed Lewis-Burke Associates LLC is actively advising clean tech innovators on major federal and state funding rounds (DOE Office of Science).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2" s="25" t="inlineStr"/>
    </row>
    <row r="13">
      <c r="A13" s="21" t="n">
        <v>9</v>
      </c>
      <c r="B13" s="11" t="inlineStr">
        <is>
          <t>Ken Gidney</t>
        </is>
      </c>
      <c r="C13" s="12" t="inlineStr">
        <is>
          <t>Ken</t>
        </is>
      </c>
      <c r="D13" s="12" t="inlineStr">
        <is>
          <t>Managing Director</t>
        </is>
      </c>
      <c r="E13" s="12" t="inlineStr">
        <is>
          <t>Tier 1: Senior Executive / Partner (Decision Maker)</t>
        </is>
      </c>
      <c r="F13" s="11" t="inlineStr">
        <is>
          <t>Strategic Marketing Innovations (SMI)</t>
        </is>
      </c>
      <c r="G13" s="12" t="inlineStr">
        <is>
          <t>https://strategicmi.com</t>
        </is>
      </c>
      <c r="H13" s="12" t="inlineStr">
        <is>
          <t>Defense &amp; Energy Tech Commercialization</t>
        </is>
      </c>
      <c r="I13" s="12" t="inlineStr">
        <is>
          <t>30-60</t>
        </is>
      </c>
      <c r="J13" s="12" t="inlineStr">
        <is>
          <t>kgidney@strategicmi.com</t>
        </is>
      </c>
      <c r="K13" s="12" t="inlineStr">
        <is>
          <t>(202) 467-5459</t>
        </is>
      </c>
      <c r="L13" s="12" t="inlineStr">
        <is>
          <t>Washington, DC</t>
        </is>
      </c>
      <c r="M13" s="12" t="inlineStr">
        <is>
          <t>DOD (DARPA, ONR, AFRL), DOE EERE, ARPA-E, SBIR/STTR Phase I/II/III</t>
        </is>
      </c>
      <c r="N13" s="12" t="inlineStr">
        <is>
          <t>Defense Dual-Use Hardware, Advanced Materials, Grid Security Startups</t>
        </is>
      </c>
      <c r="O13" s="12" t="inlineStr">
        <is>
          <t>$800M+ secured for deep tech clients</t>
        </is>
      </c>
      <c r="P13" s="12" t="inlineStr">
        <is>
          <t>Managing multi-volume proposal responses (Technical, SOPO, Budget) with complex federal cost accounting and commercialization roadmaps</t>
        </is>
      </c>
      <c r="Q13" s="12" t="inlineStr">
        <is>
          <t>4-part automated proposal blueprint with mandatory compliance stage gates and red-team fatal flaw checklists</t>
        </is>
      </c>
      <c r="R13" s="12" t="inlineStr">
        <is>
          <t>3-6 seats ($2,000 - $4,000/mo)</t>
        </is>
      </c>
      <c r="S13" s="15" t="n">
        <v>5000</v>
      </c>
      <c r="T13" s="21" t="inlineStr">
        <is>
          <t>Not Contacted</t>
        </is>
      </c>
      <c r="U13" s="13" t="inlineStr"/>
      <c r="V13" s="13" t="inlineStr"/>
      <c r="W13" s="13" t="inlineStr"/>
      <c r="X13" s="13" t="inlineStr"/>
      <c r="Y13" s="22" t="inlineStr">
        <is>
          <t>Hi Ken,
Noticed Strategic Marketing Innovations (SMI)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3" s="12" t="inlineStr"/>
    </row>
    <row r="14">
      <c r="A14" s="23" t="n">
        <v>10</v>
      </c>
      <c r="B14" s="24" t="inlineStr">
        <is>
          <t>Bill D'Agostino</t>
        </is>
      </c>
      <c r="C14" s="25" t="inlineStr">
        <is>
          <t>Bill</t>
        </is>
      </c>
      <c r="D14" s="25" t="inlineStr">
        <is>
          <t>Senior VP, Clean Energy</t>
        </is>
      </c>
      <c r="E14" s="25" t="inlineStr">
        <is>
          <t>Tier 2: Practice Leader / Director (Budget Approver)</t>
        </is>
      </c>
      <c r="F14" s="24" t="inlineStr">
        <is>
          <t>Strategic Marketing Innovations (SMI)</t>
        </is>
      </c>
      <c r="G14" s="25" t="inlineStr">
        <is>
          <t>https://strategicmi.com</t>
        </is>
      </c>
      <c r="H14" s="25" t="inlineStr">
        <is>
          <t>Defense &amp; Energy Tech Commercialization</t>
        </is>
      </c>
      <c r="I14" s="25" t="inlineStr">
        <is>
          <t>30-60</t>
        </is>
      </c>
      <c r="J14" s="25" t="inlineStr">
        <is>
          <t>bdagostino@strategicmi.com</t>
        </is>
      </c>
      <c r="K14" s="25" t="inlineStr">
        <is>
          <t>(202) 467-5459</t>
        </is>
      </c>
      <c r="L14" s="25" t="inlineStr">
        <is>
          <t>Washington, DC</t>
        </is>
      </c>
      <c r="M14" s="25" t="inlineStr">
        <is>
          <t>DOD (DARPA, ONR, AFRL), DOE EERE, ARPA-E, SBIR/STTR Phase I/II/III</t>
        </is>
      </c>
      <c r="N14" s="25" t="inlineStr">
        <is>
          <t>Defense Dual-Use Hardware, Advanced Materials, Grid Security Startups</t>
        </is>
      </c>
      <c r="O14" s="25" t="inlineStr">
        <is>
          <t>$800M+ secured for deep tech clients</t>
        </is>
      </c>
      <c r="P14" s="25" t="inlineStr">
        <is>
          <t>Managing multi-volume proposal responses (Technical, SOPO, Budget) with complex federal cost accounting and commercialization roadmaps</t>
        </is>
      </c>
      <c r="Q14" s="25" t="inlineStr">
        <is>
          <t>4-part automated proposal blueprint with mandatory compliance stage gates and red-team fatal flaw checklists</t>
        </is>
      </c>
      <c r="R14" s="25" t="inlineStr">
        <is>
          <t>3-6 seats ($2,000 - $4,000/mo)</t>
        </is>
      </c>
      <c r="S14" s="26" t="n">
        <v>5000</v>
      </c>
      <c r="T14" s="23" t="inlineStr">
        <is>
          <t>Not Contacted</t>
        </is>
      </c>
      <c r="U14" s="27" t="inlineStr"/>
      <c r="V14" s="27" t="inlineStr"/>
      <c r="W14" s="27" t="inlineStr"/>
      <c r="X14" s="27" t="inlineStr"/>
      <c r="Y14" s="28" t="inlineStr">
        <is>
          <t>Hi Bill,
Noticed Strategic Marketing Innovations (SMI)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4" s="25" t="inlineStr"/>
    </row>
    <row r="15">
      <c r="A15" s="21" t="n">
        <v>11</v>
      </c>
      <c r="B15" s="11" t="inlineStr">
        <is>
          <t>Richard Youngman</t>
        </is>
      </c>
      <c r="C15" s="12" t="inlineStr">
        <is>
          <t>Richard</t>
        </is>
      </c>
      <c r="D15" s="12" t="inlineStr">
        <is>
          <t>CEO</t>
        </is>
      </c>
      <c r="E15" s="12" t="inlineStr">
        <is>
          <t>Tier 1: Senior Executive / Partner (Decision Maker)</t>
        </is>
      </c>
      <c r="F15" s="11" t="inlineStr">
        <is>
          <t>Cleantech Group</t>
        </is>
      </c>
      <c r="G15" s="12" t="inlineStr">
        <is>
          <t>https://cleantech.com</t>
        </is>
      </c>
      <c r="H15" s="12" t="inlineStr">
        <is>
          <t>Global Cleantech Market Intelligence &amp; Advisory</t>
        </is>
      </c>
      <c r="I15" s="12" t="inlineStr">
        <is>
          <t>50-100</t>
        </is>
      </c>
      <c r="J15" s="12" t="inlineStr">
        <is>
          <t>richard.youngman@cleantech.com</t>
        </is>
      </c>
      <c r="K15" s="12" t="inlineStr">
        <is>
          <t>(415) 233-9700</t>
        </is>
      </c>
      <c r="L15" s="12" t="inlineStr">
        <is>
          <t>San Francisco, CA</t>
        </is>
      </c>
      <c r="M15" s="12" t="inlineStr">
        <is>
          <t>Global Public-Private Grant Programs, DOE, EU Horizon Europe, CEC EPIC</t>
        </is>
      </c>
      <c r="N15" s="12" t="inlineStr">
        <is>
          <t>Global Clean Tech 100, Climate VCs, Corporate CVCs, Growth Startups</t>
        </is>
      </c>
      <c r="O15" s="12" t="inlineStr">
        <is>
          <t>Indexes $10B+ in annual venture &amp; grant financing</t>
        </is>
      </c>
      <c r="P15" s="12" t="inlineStr">
        <is>
          <t>Synthesizing non-dilutive grant capital alongside private venture rounds and SEC filings into unified market reports</t>
        </is>
      </c>
      <c r="Q15" s="12" t="inlineStr">
        <is>
          <t>Unified 5-Stage Capital Continuum (Grants + SEC Form D + VC Rounds + LPO Debt + Patents) in single-click PDF export</t>
        </is>
      </c>
      <c r="R15" s="12" t="inlineStr">
        <is>
          <t>6-12 seats ($4,000 - $8,000/mo)</t>
        </is>
      </c>
      <c r="S15" s="15" t="n">
        <v>10000</v>
      </c>
      <c r="T15" s="21" t="inlineStr">
        <is>
          <t>Not Contacted</t>
        </is>
      </c>
      <c r="U15" s="13" t="inlineStr"/>
      <c r="V15" s="13" t="inlineStr"/>
      <c r="W15" s="13" t="inlineStr"/>
      <c r="X15" s="13" t="inlineStr"/>
      <c r="Y15" s="22" t="inlineStr">
        <is>
          <t>Hi Richard,
Noticed Cleantech Group is actively advising clean tech innovators on major federal and state funding rounds (Global Public-Private Grant Programs).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5" s="12" t="inlineStr"/>
    </row>
    <row r="16">
      <c r="A16" s="23" t="n">
        <v>12</v>
      </c>
      <c r="B16" s="24" t="inlineStr">
        <is>
          <t>Todd Allmendinger</t>
        </is>
      </c>
      <c r="C16" s="25" t="inlineStr">
        <is>
          <t>Todd</t>
        </is>
      </c>
      <c r="D16" s="25" t="inlineStr">
        <is>
          <t>Director of Research</t>
        </is>
      </c>
      <c r="E16" s="25" t="inlineStr">
        <is>
          <t>Tier 2: Practice Leader / Director (Budget Approver)</t>
        </is>
      </c>
      <c r="F16" s="24" t="inlineStr">
        <is>
          <t>Cleantech Group</t>
        </is>
      </c>
      <c r="G16" s="25" t="inlineStr">
        <is>
          <t>https://cleantech.com</t>
        </is>
      </c>
      <c r="H16" s="25" t="inlineStr">
        <is>
          <t>Global Cleantech Market Intelligence &amp; Advisory</t>
        </is>
      </c>
      <c r="I16" s="25" t="inlineStr">
        <is>
          <t>50-100</t>
        </is>
      </c>
      <c r="J16" s="25" t="inlineStr">
        <is>
          <t>todd.allmendinger@cleantech.com</t>
        </is>
      </c>
      <c r="K16" s="25" t="inlineStr">
        <is>
          <t>(415) 233-9700</t>
        </is>
      </c>
      <c r="L16" s="25" t="inlineStr">
        <is>
          <t>San Francisco, CA</t>
        </is>
      </c>
      <c r="M16" s="25" t="inlineStr">
        <is>
          <t>Global Public-Private Grant Programs, DOE, EU Horizon Europe, CEC EPIC</t>
        </is>
      </c>
      <c r="N16" s="25" t="inlineStr">
        <is>
          <t>Global Clean Tech 100, Climate VCs, Corporate CVCs, Growth Startups</t>
        </is>
      </c>
      <c r="O16" s="25" t="inlineStr">
        <is>
          <t>Indexes $10B+ in annual venture &amp; grant financing</t>
        </is>
      </c>
      <c r="P16" s="25" t="inlineStr">
        <is>
          <t>Synthesizing non-dilutive grant capital alongside private venture rounds and SEC filings into unified market reports</t>
        </is>
      </c>
      <c r="Q16" s="25" t="inlineStr">
        <is>
          <t>Unified 5-Stage Capital Continuum (Grants + SEC Form D + VC Rounds + LPO Debt + Patents) in single-click PDF export</t>
        </is>
      </c>
      <c r="R16" s="25" t="inlineStr">
        <is>
          <t>6-12 seats ($4,000 - $8,000/mo)</t>
        </is>
      </c>
      <c r="S16" s="26" t="n">
        <v>10000</v>
      </c>
      <c r="T16" s="23" t="inlineStr">
        <is>
          <t>Not Contacted</t>
        </is>
      </c>
      <c r="U16" s="27" t="inlineStr"/>
      <c r="V16" s="27" t="inlineStr"/>
      <c r="W16" s="27" t="inlineStr"/>
      <c r="X16" s="27" t="inlineStr"/>
      <c r="Y16" s="28" t="inlineStr">
        <is>
          <t>Hi Todd,
Noticed Cleantech Group is actively advising clean tech innovators on major federal and state funding rounds (Global Public-Private Grant Programs).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6" s="25" t="inlineStr"/>
    </row>
    <row r="17">
      <c r="A17" s="21" t="n">
        <v>13</v>
      </c>
      <c r="B17" s="11" t="inlineStr">
        <is>
          <t>Joe Bryan</t>
        </is>
      </c>
      <c r="C17" s="12" t="inlineStr">
        <is>
          <t>Joe</t>
        </is>
      </c>
      <c r="D17" s="12" t="inlineStr">
        <is>
          <t>Principal &amp; Co-Founder</t>
        </is>
      </c>
      <c r="E17" s="12" t="inlineStr">
        <is>
          <t>Tier 1: Senior Executive / Partner (Decision Maker)</t>
        </is>
      </c>
      <c r="F17" s="11" t="inlineStr">
        <is>
          <t>Pioneer Public Affairs</t>
        </is>
      </c>
      <c r="G17" s="12" t="inlineStr">
        <is>
          <t>https://pioneerpublicaffairs.com</t>
        </is>
      </c>
      <c r="H17" s="12" t="inlineStr">
        <is>
          <t>Climate Policy &amp; Clean Energy Procurement</t>
        </is>
      </c>
      <c r="I17" s="12" t="inlineStr">
        <is>
          <t>20-40</t>
        </is>
      </c>
      <c r="J17" s="12" t="inlineStr">
        <is>
          <t>joe@pioneerpublicaffairs.com</t>
        </is>
      </c>
      <c r="K17" s="12" t="inlineStr">
        <is>
          <t>(202) 750-1770</t>
        </is>
      </c>
      <c r="L17" s="12" t="inlineStr">
        <is>
          <t>Washington, DC</t>
        </is>
      </c>
      <c r="M17" s="12" t="inlineStr">
        <is>
          <t>DOE, EPA, DOD Clean Energy, Treasury IRA Programs</t>
        </is>
      </c>
      <c r="N17" s="12" t="inlineStr">
        <is>
          <t>Climate Tech Unicorns, Clean Heavy Industry, EV Fleet Operators</t>
        </is>
      </c>
      <c r="O17" s="12" t="inlineStr">
        <is>
          <t>$1.2B+ in IRA &amp; IIJA applications advised</t>
        </is>
      </c>
      <c r="P17" s="12" t="inlineStr">
        <is>
          <t>Navigating statutory compliance clauses (Buy America, Prevailing Wage, Justice40) for rapid client advisory</t>
        </is>
      </c>
      <c r="Q17" s="12" t="inlineStr">
        <is>
          <t>Automated extraction of statutory restrictions, DAC targeting, and cost-share waiver rules across solicitations</t>
        </is>
      </c>
      <c r="R17" s="12" t="inlineStr">
        <is>
          <t>3-5 seats ($2,000 - $3,500/mo)</t>
        </is>
      </c>
      <c r="S17" s="15" t="n">
        <v>4000</v>
      </c>
      <c r="T17" s="21" t="inlineStr">
        <is>
          <t>Not Contacted</t>
        </is>
      </c>
      <c r="U17" s="13" t="inlineStr"/>
      <c r="V17" s="13" t="inlineStr"/>
      <c r="W17" s="13" t="inlineStr"/>
      <c r="X17" s="13" t="inlineStr"/>
      <c r="Y17" s="22" t="inlineStr">
        <is>
          <t>Hi Joe,
Noticed Pioneer Public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7" s="12" t="inlineStr"/>
    </row>
    <row r="18">
      <c r="A18" s="23" t="n">
        <v>14</v>
      </c>
      <c r="B18" s="24" t="inlineStr">
        <is>
          <t>Charlie Ellsworth</t>
        </is>
      </c>
      <c r="C18" s="25" t="inlineStr">
        <is>
          <t>Charlie</t>
        </is>
      </c>
      <c r="D18" s="25" t="inlineStr">
        <is>
          <t>Partner</t>
        </is>
      </c>
      <c r="E18" s="25" t="inlineStr">
        <is>
          <t>Tier 1: Senior Executive / Partner (Decision Maker)</t>
        </is>
      </c>
      <c r="F18" s="24" t="inlineStr">
        <is>
          <t>Pioneer Public Affairs</t>
        </is>
      </c>
      <c r="G18" s="25" t="inlineStr">
        <is>
          <t>https://pioneerpublicaffairs.com</t>
        </is>
      </c>
      <c r="H18" s="25" t="inlineStr">
        <is>
          <t>Climate Policy &amp; Clean Energy Procurement</t>
        </is>
      </c>
      <c r="I18" s="25" t="inlineStr">
        <is>
          <t>20-40</t>
        </is>
      </c>
      <c r="J18" s="25" t="inlineStr">
        <is>
          <t>charlie@pioneerpublicaffairs.com</t>
        </is>
      </c>
      <c r="K18" s="25" t="inlineStr">
        <is>
          <t>(202) 750-1770</t>
        </is>
      </c>
      <c r="L18" s="25" t="inlineStr">
        <is>
          <t>Washington, DC</t>
        </is>
      </c>
      <c r="M18" s="25" t="inlineStr">
        <is>
          <t>DOE, EPA, DOD Clean Energy, Treasury IRA Programs</t>
        </is>
      </c>
      <c r="N18" s="25" t="inlineStr">
        <is>
          <t>Climate Tech Unicorns, Clean Heavy Industry, EV Fleet Operators</t>
        </is>
      </c>
      <c r="O18" s="25" t="inlineStr">
        <is>
          <t>$1.2B+ in IRA &amp; IIJA applications advised</t>
        </is>
      </c>
      <c r="P18" s="25" t="inlineStr">
        <is>
          <t>Navigating statutory compliance clauses (Buy America, Prevailing Wage, Justice40) for rapid client advisory</t>
        </is>
      </c>
      <c r="Q18" s="25" t="inlineStr">
        <is>
          <t>Automated extraction of statutory restrictions, DAC targeting, and cost-share waiver rules across solicitations</t>
        </is>
      </c>
      <c r="R18" s="25" t="inlineStr">
        <is>
          <t>3-5 seats ($2,000 - $3,500/mo)</t>
        </is>
      </c>
      <c r="S18" s="26" t="n">
        <v>4000</v>
      </c>
      <c r="T18" s="23" t="inlineStr">
        <is>
          <t>Not Contacted</t>
        </is>
      </c>
      <c r="U18" s="27" t="inlineStr"/>
      <c r="V18" s="27" t="inlineStr"/>
      <c r="W18" s="27" t="inlineStr"/>
      <c r="X18" s="27" t="inlineStr"/>
      <c r="Y18" s="28" t="inlineStr">
        <is>
          <t>Hi Charlie,
Noticed Pioneer Public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8" s="25" t="inlineStr"/>
    </row>
    <row r="19">
      <c r="A19" s="21" t="n">
        <v>15</v>
      </c>
      <c r="B19" s="11" t="inlineStr">
        <is>
          <t>Colin O'Mara</t>
        </is>
      </c>
      <c r="C19" s="12" t="inlineStr">
        <is>
          <t>Colin</t>
        </is>
      </c>
      <c r="D19" s="12" t="inlineStr">
        <is>
          <t>Senior Advisor, Energy Practice</t>
        </is>
      </c>
      <c r="E19" s="12" t="inlineStr">
        <is>
          <t>Tier 3: Senior Strategist / Proposal Lead (Power User)</t>
        </is>
      </c>
      <c r="F19" s="11" t="inlineStr">
        <is>
          <t>Pioneer Public Affairs</t>
        </is>
      </c>
      <c r="G19" s="12" t="inlineStr">
        <is>
          <t>https://pioneerpublicaffairs.com</t>
        </is>
      </c>
      <c r="H19" s="12" t="inlineStr">
        <is>
          <t>Climate Policy &amp; Clean Energy Procurement</t>
        </is>
      </c>
      <c r="I19" s="12" t="inlineStr">
        <is>
          <t>20-40</t>
        </is>
      </c>
      <c r="J19" s="12" t="inlineStr">
        <is>
          <t>colin@pioneerpublicaffairs.com</t>
        </is>
      </c>
      <c r="K19" s="12" t="inlineStr">
        <is>
          <t>(202) 750-1770</t>
        </is>
      </c>
      <c r="L19" s="12" t="inlineStr">
        <is>
          <t>Washington, DC</t>
        </is>
      </c>
      <c r="M19" s="12" t="inlineStr">
        <is>
          <t>DOE, EPA, DOD Clean Energy, Treasury IRA Programs</t>
        </is>
      </c>
      <c r="N19" s="12" t="inlineStr">
        <is>
          <t>Climate Tech Unicorns, Clean Heavy Industry, EV Fleet Operators</t>
        </is>
      </c>
      <c r="O19" s="12" t="inlineStr">
        <is>
          <t>$1.2B+ in IRA &amp; IIJA applications advised</t>
        </is>
      </c>
      <c r="P19" s="12" t="inlineStr">
        <is>
          <t>Navigating statutory compliance clauses (Buy America, Prevailing Wage, Justice40) for rapid client advisory</t>
        </is>
      </c>
      <c r="Q19" s="12" t="inlineStr">
        <is>
          <t>Automated extraction of statutory restrictions, DAC targeting, and cost-share waiver rules across solicitations</t>
        </is>
      </c>
      <c r="R19" s="12" t="inlineStr">
        <is>
          <t>3-5 seats ($2,000 - $3,500/mo)</t>
        </is>
      </c>
      <c r="S19" s="15" t="n">
        <v>4000</v>
      </c>
      <c r="T19" s="21" t="inlineStr">
        <is>
          <t>Not Contacted</t>
        </is>
      </c>
      <c r="U19" s="13" t="inlineStr"/>
      <c r="V19" s="13" t="inlineStr"/>
      <c r="W19" s="13" t="inlineStr"/>
      <c r="X19" s="13" t="inlineStr"/>
      <c r="Y19" s="22" t="inlineStr">
        <is>
          <t>Hi Colin,
Noticed Pioneer Public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9" s="12" t="inlineStr"/>
    </row>
    <row r="20">
      <c r="A20" s="23" t="n">
        <v>16</v>
      </c>
      <c r="B20" s="24" t="inlineStr">
        <is>
          <t>Mark O'Connell</t>
        </is>
      </c>
      <c r="C20" s="25" t="inlineStr">
        <is>
          <t>Mark</t>
        </is>
      </c>
      <c r="D20" s="25" t="inlineStr">
        <is>
          <t>Managing Director</t>
        </is>
      </c>
      <c r="E20" s="25" t="inlineStr">
        <is>
          <t>Tier 1: Senior Executive / Partner (Decision Maker)</t>
        </is>
      </c>
      <c r="F20" s="24" t="inlineStr">
        <is>
          <t>KeyLogic Systems</t>
        </is>
      </c>
      <c r="G20" s="25" t="inlineStr">
        <is>
          <t>https://keylogic.com</t>
        </is>
      </c>
      <c r="H20" s="25" t="inlineStr">
        <is>
          <t>Energy Systems &amp; Lab Technical Advisory</t>
        </is>
      </c>
      <c r="I20" s="25" t="inlineStr">
        <is>
          <t>200-400</t>
        </is>
      </c>
      <c r="J20" s="25" t="inlineStr">
        <is>
          <t>moconnell@keylogic.com</t>
        </is>
      </c>
      <c r="K20" s="25" t="inlineStr">
        <is>
          <t>(800) 800-2410</t>
        </is>
      </c>
      <c r="L20" s="25" t="inlineStr">
        <is>
          <t>Morgantown, WV</t>
        </is>
      </c>
      <c r="M20" s="25" t="inlineStr">
        <is>
          <t>DOE NETL, DOE Office of Clean Energy Demonstrations (OCED)</t>
        </is>
      </c>
      <c r="N20" s="25" t="inlineStr">
        <is>
          <t>Carbon Capture (CCUS), Hydrogen, Advanced Turbines, Power Utilities</t>
        </is>
      </c>
      <c r="O20" s="25" t="inlineStr">
        <is>
          <t>$3B+ federal program management</t>
        </is>
      </c>
      <c r="P20" s="25" t="inlineStr">
        <is>
          <t>Reviewing and synthesizing technical merit scoring criteria for high-TRL demonstration projects</t>
        </is>
      </c>
      <c r="Q20" s="25" t="inlineStr">
        <is>
          <t>Institutional Reviewer Scoring Rubric breakdown with weighted sub-factors and technical fatal flaw analysis</t>
        </is>
      </c>
      <c r="R20" s="25" t="inlineStr">
        <is>
          <t>10-20 seats ($7,000 - $15,000/mo)</t>
        </is>
      </c>
      <c r="S20" s="26" t="n">
        <v>20000</v>
      </c>
      <c r="T20" s="23" t="inlineStr">
        <is>
          <t>Not Contacted</t>
        </is>
      </c>
      <c r="U20" s="27" t="inlineStr"/>
      <c r="V20" s="27" t="inlineStr"/>
      <c r="W20" s="27" t="inlineStr"/>
      <c r="X20" s="27" t="inlineStr"/>
      <c r="Y20" s="28" t="inlineStr">
        <is>
          <t>Hi Mark,
Noticed KeyLogic Systems is actively advising clean tech innovators on major federal and state funding rounds (DOE NETL).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0" s="25" t="inlineStr"/>
    </row>
    <row r="21">
      <c r="A21" s="21" t="n">
        <v>17</v>
      </c>
      <c r="B21" s="11" t="inlineStr">
        <is>
          <t>Scott Staruch</t>
        </is>
      </c>
      <c r="C21" s="12" t="inlineStr">
        <is>
          <t>Scott</t>
        </is>
      </c>
      <c r="D21" s="12" t="inlineStr">
        <is>
          <t>VP, Energy &amp; Government Strategy</t>
        </is>
      </c>
      <c r="E21" s="12" t="inlineStr">
        <is>
          <t>Tier 2: Practice Leader / Director (Budget Approver)</t>
        </is>
      </c>
      <c r="F21" s="11" t="inlineStr">
        <is>
          <t>KeyLogic Systems</t>
        </is>
      </c>
      <c r="G21" s="12" t="inlineStr">
        <is>
          <t>https://keylogic.com</t>
        </is>
      </c>
      <c r="H21" s="12" t="inlineStr">
        <is>
          <t>Energy Systems &amp; Lab Technical Advisory</t>
        </is>
      </c>
      <c r="I21" s="12" t="inlineStr">
        <is>
          <t>200-400</t>
        </is>
      </c>
      <c r="J21" s="12" t="inlineStr">
        <is>
          <t>sstaruch@keylogic.com</t>
        </is>
      </c>
      <c r="K21" s="12" t="inlineStr">
        <is>
          <t>(800) 800-2410</t>
        </is>
      </c>
      <c r="L21" s="12" t="inlineStr">
        <is>
          <t>Washington, DC</t>
        </is>
      </c>
      <c r="M21" s="12" t="inlineStr">
        <is>
          <t>DOE NETL, DOE Office of Clean Energy Demonstrations (OCED)</t>
        </is>
      </c>
      <c r="N21" s="12" t="inlineStr">
        <is>
          <t>Carbon Capture (CCUS), Hydrogen, Advanced Turbines, Power Utilities</t>
        </is>
      </c>
      <c r="O21" s="12" t="inlineStr">
        <is>
          <t>$3B+ federal program management</t>
        </is>
      </c>
      <c r="P21" s="12" t="inlineStr">
        <is>
          <t>Reviewing and synthesizing technical merit scoring criteria for high-TRL demonstration projects</t>
        </is>
      </c>
      <c r="Q21" s="12" t="inlineStr">
        <is>
          <t>Institutional Reviewer Scoring Rubric breakdown with weighted sub-factors and technical fatal flaw analysis</t>
        </is>
      </c>
      <c r="R21" s="12" t="inlineStr">
        <is>
          <t>10-20 seats ($7,000 - $15,000/mo)</t>
        </is>
      </c>
      <c r="S21" s="15" t="n">
        <v>20000</v>
      </c>
      <c r="T21" s="21" t="inlineStr">
        <is>
          <t>Not Contacted</t>
        </is>
      </c>
      <c r="U21" s="13" t="inlineStr"/>
      <c r="V21" s="13" t="inlineStr"/>
      <c r="W21" s="13" t="inlineStr"/>
      <c r="X21" s="13" t="inlineStr"/>
      <c r="Y21" s="22" t="inlineStr">
        <is>
          <t>Hi Scott,
Noticed KeyLogic Systems is actively advising clean tech innovators on major federal and state funding rounds (DOE NETL).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1" s="12" t="inlineStr"/>
    </row>
    <row r="22">
      <c r="A22" s="23" t="n">
        <v>18</v>
      </c>
      <c r="B22" s="24" t="inlineStr">
        <is>
          <t>Kyle Hermany</t>
        </is>
      </c>
      <c r="C22" s="25" t="inlineStr">
        <is>
          <t>Kyle</t>
        </is>
      </c>
      <c r="D22" s="25" t="inlineStr">
        <is>
          <t>Partner</t>
        </is>
      </c>
      <c r="E22" s="25" t="inlineStr">
        <is>
          <t>Tier 1: Senior Executive / Partner (Decision Maker)</t>
        </is>
      </c>
      <c r="F22" s="24" t="inlineStr">
        <is>
          <t>ADL Ventures</t>
        </is>
      </c>
      <c r="G22" s="25" t="inlineStr">
        <is>
          <t>https://adlventures.com</t>
        </is>
      </c>
      <c r="H22" s="25" t="inlineStr">
        <is>
          <t>Corporate Venture Studio &amp; Non-Dilutive Strategy</t>
        </is>
      </c>
      <c r="I22" s="25" t="inlineStr">
        <is>
          <t>20-50</t>
        </is>
      </c>
      <c r="J22" s="25" t="inlineStr">
        <is>
          <t>kyle@adlventures.com</t>
        </is>
      </c>
      <c r="K22" s="25" t="inlineStr">
        <is>
          <t>(617) 945-8120</t>
        </is>
      </c>
      <c r="L22" s="25" t="inlineStr">
        <is>
          <t>Boston, MA</t>
        </is>
      </c>
      <c r="M22" s="25" t="inlineStr">
        <is>
          <t>DOE BTO, NYSERDA, CEC, NSF</t>
        </is>
      </c>
      <c r="N22" s="25" t="inlineStr">
        <is>
          <t>Building Decarbonization Startups, HVAC Tech, Utility Tech Startups</t>
        </is>
      </c>
      <c r="O22" s="25" t="inlineStr">
        <is>
          <t>$400M+ in co-developed non-dilutive projects</t>
        </is>
      </c>
      <c r="P22" s="25" t="inlineStr">
        <is>
          <t>Screening dozens of state and federal funding opportunities monthly for venture studio portfolio co-builds</t>
        </is>
      </c>
      <c r="Q22" s="25" t="inlineStr">
        <is>
          <t>Multi-criteria grant matching engine filtering by TRL, sector, geography, and cost-share requirements</t>
        </is>
      </c>
      <c r="R22" s="25" t="inlineStr">
        <is>
          <t>3-6 seats ($2,000 - $4,000/mo)</t>
        </is>
      </c>
      <c r="S22" s="26" t="n">
        <v>5000</v>
      </c>
      <c r="T22" s="23" t="inlineStr">
        <is>
          <t>Not Contacted</t>
        </is>
      </c>
      <c r="U22" s="27" t="inlineStr"/>
      <c r="V22" s="27" t="inlineStr"/>
      <c r="W22" s="27" t="inlineStr"/>
      <c r="X22" s="27" t="inlineStr"/>
      <c r="Y22" s="28" t="inlineStr">
        <is>
          <t>Hi Kyle,
Noticed ADL Ventures is actively advising clean tech innovators on major federal and state funding rounds (DOE BTO).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2" s="25" t="inlineStr"/>
    </row>
    <row r="23">
      <c r="A23" s="21" t="n">
        <v>19</v>
      </c>
      <c r="B23" s="11" t="inlineStr">
        <is>
          <t>Chris Richardson</t>
        </is>
      </c>
      <c r="C23" s="12" t="inlineStr">
        <is>
          <t>Chris</t>
        </is>
      </c>
      <c r="D23" s="12" t="inlineStr">
        <is>
          <t>Partner</t>
        </is>
      </c>
      <c r="E23" s="12" t="inlineStr">
        <is>
          <t>Tier 1: Senior Executive / Partner (Decision Maker)</t>
        </is>
      </c>
      <c r="F23" s="11" t="inlineStr">
        <is>
          <t>ADL Ventures</t>
        </is>
      </c>
      <c r="G23" s="12" t="inlineStr">
        <is>
          <t>https://adlventures.com</t>
        </is>
      </c>
      <c r="H23" s="12" t="inlineStr">
        <is>
          <t>Corporate Venture Studio &amp; Non-Dilutive Strategy</t>
        </is>
      </c>
      <c r="I23" s="12" t="inlineStr">
        <is>
          <t>20-50</t>
        </is>
      </c>
      <c r="J23" s="12" t="inlineStr">
        <is>
          <t>chris@adlventures.com</t>
        </is>
      </c>
      <c r="K23" s="12" t="inlineStr">
        <is>
          <t>(617) 945-8120</t>
        </is>
      </c>
      <c r="L23" s="12" t="inlineStr">
        <is>
          <t>San Francisco, CA</t>
        </is>
      </c>
      <c r="M23" s="12" t="inlineStr">
        <is>
          <t>DOE BTO, NYSERDA, CEC, NSF</t>
        </is>
      </c>
      <c r="N23" s="12" t="inlineStr">
        <is>
          <t>Building Decarbonization Startups, HVAC Tech, Utility Tech Startups</t>
        </is>
      </c>
      <c r="O23" s="12" t="inlineStr">
        <is>
          <t>$400M+ in co-developed non-dilutive projects</t>
        </is>
      </c>
      <c r="P23" s="12" t="inlineStr">
        <is>
          <t>Screening dozens of state and federal funding opportunities monthly for venture studio portfolio co-builds</t>
        </is>
      </c>
      <c r="Q23" s="12" t="inlineStr">
        <is>
          <t>Multi-criteria grant matching engine filtering by TRL, sector, geography, and cost-share requirements</t>
        </is>
      </c>
      <c r="R23" s="12" t="inlineStr">
        <is>
          <t>3-6 seats ($2,000 - $4,000/mo)</t>
        </is>
      </c>
      <c r="S23" s="15" t="n">
        <v>5000</v>
      </c>
      <c r="T23" s="21" t="inlineStr">
        <is>
          <t>Not Contacted</t>
        </is>
      </c>
      <c r="U23" s="13" t="inlineStr"/>
      <c r="V23" s="13" t="inlineStr"/>
      <c r="W23" s="13" t="inlineStr"/>
      <c r="X23" s="13" t="inlineStr"/>
      <c r="Y23" s="22" t="inlineStr">
        <is>
          <t>Hi Chris,
Noticed ADL Ventures is actively advising clean tech innovators on major federal and state funding rounds (DOE BTO).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3" s="12" t="inlineStr"/>
    </row>
    <row r="24">
      <c r="A24" s="23" t="n">
        <v>20</v>
      </c>
      <c r="B24" s="24" t="inlineStr">
        <is>
          <t>Jon Creyts</t>
        </is>
      </c>
      <c r="C24" s="25" t="inlineStr">
        <is>
          <t>Jon</t>
        </is>
      </c>
      <c r="D24" s="25" t="inlineStr">
        <is>
          <t>CEO</t>
        </is>
      </c>
      <c r="E24" s="25" t="inlineStr">
        <is>
          <t>Tier 1: Senior Executive / Partner (Decision Maker)</t>
        </is>
      </c>
      <c r="F24" s="24" t="inlineStr">
        <is>
          <t>RMI / Third Derivative</t>
        </is>
      </c>
      <c r="G24" s="25" t="inlineStr">
        <is>
          <t>https://thirdderivative.org</t>
        </is>
      </c>
      <c r="H24" s="25" t="inlineStr">
        <is>
          <t>Global Climate Tech Accelerator &amp; Non-Profit Advisory</t>
        </is>
      </c>
      <c r="I24" s="25" t="inlineStr">
        <is>
          <t>100-250</t>
        </is>
      </c>
      <c r="J24" s="25" t="inlineStr">
        <is>
          <t>jcreyts@rmi.org</t>
        </is>
      </c>
      <c r="K24" s="25" t="inlineStr">
        <is>
          <t>(303) 245-1003</t>
        </is>
      </c>
      <c r="L24" s="25" t="inlineStr">
        <is>
          <t>Boulder, CO</t>
        </is>
      </c>
      <c r="M24" s="25" t="inlineStr">
        <is>
          <t>DOE, State Energy Offices, Global Climate Funds</t>
        </is>
      </c>
      <c r="N24" s="25" t="inlineStr">
        <is>
          <t>Early Stage (Seed to Series B) Hardtech Innovators across 100+ startups</t>
        </is>
      </c>
      <c r="O24" s="25" t="inlineStr">
        <is>
          <t>150+ portfolio startups actively seeking grants</t>
        </is>
      </c>
      <c r="P24" s="25" t="inlineStr">
        <is>
          <t>Providing grant search and FOA compliance tooling to 100+ portfolio companies without endless manual consulting hours</t>
        </is>
      </c>
      <c r="Q24" s="25" t="inlineStr">
        <is>
          <t>Turnkey portal and PDF blueprint exports that startups can use immediately to craft winning applications</t>
        </is>
      </c>
      <c r="R24" s="25" t="inlineStr">
        <is>
          <t>5-10 seats ($3,000 - $6,000/mo) or Enterprise Portfolio License</t>
        </is>
      </c>
      <c r="S24" s="26" t="n">
        <v>2000</v>
      </c>
      <c r="T24" s="23" t="inlineStr">
        <is>
          <t>Not Contacted</t>
        </is>
      </c>
      <c r="U24" s="27" t="inlineStr"/>
      <c r="V24" s="27" t="inlineStr"/>
      <c r="W24" s="27" t="inlineStr"/>
      <c r="X24" s="27" t="inlineStr"/>
      <c r="Y24" s="28" t="inlineStr">
        <is>
          <t>Hi Jon,
Noticed RMI / Third Derivative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4" s="25" t="inlineStr"/>
    </row>
    <row r="25">
      <c r="A25" s="21" t="n">
        <v>21</v>
      </c>
      <c r="B25" s="11" t="inlineStr">
        <is>
          <t>Bryan Fisher</t>
        </is>
      </c>
      <c r="C25" s="12" t="inlineStr">
        <is>
          <t>Bryan</t>
        </is>
      </c>
      <c r="D25" s="12" t="inlineStr">
        <is>
          <t>Managing Director</t>
        </is>
      </c>
      <c r="E25" s="12" t="inlineStr">
        <is>
          <t>Tier 1: Senior Executive / Partner (Decision Maker)</t>
        </is>
      </c>
      <c r="F25" s="11" t="inlineStr">
        <is>
          <t>RMI</t>
        </is>
      </c>
      <c r="G25" s="12" t="inlineStr">
        <is>
          <t>https://energyadvisory.com</t>
        </is>
      </c>
      <c r="H25" s="12" t="inlineStr">
        <is>
          <t>Clean Tech &amp; Energy Advisory</t>
        </is>
      </c>
      <c r="I25" s="12" t="inlineStr">
        <is>
          <t>20-100</t>
        </is>
      </c>
      <c r="J25" s="12" t="inlineStr">
        <is>
          <t>bfisher@rmi.org</t>
        </is>
      </c>
      <c r="K25" s="12" t="inlineStr">
        <is>
          <t>(303) 245-1003</t>
        </is>
      </c>
      <c r="L25" s="12" t="inlineStr">
        <is>
          <t>Boulder, CO</t>
        </is>
      </c>
      <c r="M25" s="12" t="inlineStr">
        <is>
          <t>DOE, NYSERDA, CEC, NSF</t>
        </is>
      </c>
      <c r="N25" s="12" t="inlineStr">
        <is>
          <t>Clean Tech Startups, Utilities, Research Consortia</t>
        </is>
      </c>
      <c r="O25" s="12" t="inlineStr">
        <is>
          <t>$500M+ federal and state grant applications supported</t>
        </is>
      </c>
      <c r="P25" s="12" t="inlineStr">
        <is>
          <t>Manual FOA decomposition and multi-database research consuming 20+ hours per proposal</t>
        </is>
      </c>
      <c r="Q25" s="12" t="inlineStr">
        <is>
          <t>10-second FOA shredder, 4-part PDF blueprints, and 5-stage capital continuum ledgers</t>
        </is>
      </c>
      <c r="R25" s="12" t="inlineStr">
        <is>
          <t>3-8 seats ($2,000 - $5,000/mo)</t>
        </is>
      </c>
      <c r="S25" s="15" t="n">
        <v>6000</v>
      </c>
      <c r="T25" s="21" t="inlineStr">
        <is>
          <t>Not Contacted</t>
        </is>
      </c>
      <c r="U25" s="13" t="inlineStr"/>
      <c r="V25" s="13" t="inlineStr"/>
      <c r="W25" s="13" t="inlineStr"/>
      <c r="X25" s="13" t="inlineStr"/>
      <c r="Y25" s="22" t="inlineStr">
        <is>
          <t>Hi Bryan,
Noticed RMI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5" s="12" t="inlineStr"/>
    </row>
    <row r="26">
      <c r="A26" s="23" t="n">
        <v>22</v>
      </c>
      <c r="B26" s="24" t="inlineStr">
        <is>
          <t>Lachlan Carey</t>
        </is>
      </c>
      <c r="C26" s="25" t="inlineStr">
        <is>
          <t>Lachlan</t>
        </is>
      </c>
      <c r="D26" s="25" t="inlineStr">
        <is>
          <t>Principal, US Program</t>
        </is>
      </c>
      <c r="E26" s="25" t="inlineStr">
        <is>
          <t>Tier 1: Senior Executive / Partner (Decision Maker)</t>
        </is>
      </c>
      <c r="F26" s="24" t="inlineStr">
        <is>
          <t>RMI</t>
        </is>
      </c>
      <c r="G26" s="25" t="inlineStr">
        <is>
          <t>https://energyadvisory.com</t>
        </is>
      </c>
      <c r="H26" s="25" t="inlineStr">
        <is>
          <t>Clean Tech &amp; Energy Advisory</t>
        </is>
      </c>
      <c r="I26" s="25" t="inlineStr">
        <is>
          <t>20-100</t>
        </is>
      </c>
      <c r="J26" s="25" t="inlineStr">
        <is>
          <t>lcarey@rmi.org</t>
        </is>
      </c>
      <c r="K26" s="25" t="inlineStr">
        <is>
          <t>(202) 717-8488</t>
        </is>
      </c>
      <c r="L26" s="25" t="inlineStr">
        <is>
          <t>Washington, DC</t>
        </is>
      </c>
      <c r="M26" s="25" t="inlineStr">
        <is>
          <t>DOE, NYSERDA, CEC, NSF</t>
        </is>
      </c>
      <c r="N26" s="25" t="inlineStr">
        <is>
          <t>Clean Tech Startups, Utilities, Research Consortia</t>
        </is>
      </c>
      <c r="O26" s="25" t="inlineStr">
        <is>
          <t>$500M+ federal and state grant applications supported</t>
        </is>
      </c>
      <c r="P26" s="25" t="inlineStr">
        <is>
          <t>Manual FOA decomposition and multi-database research consuming 20+ hours per proposal</t>
        </is>
      </c>
      <c r="Q26" s="25" t="inlineStr">
        <is>
          <t>10-second FOA shredder, 4-part PDF blueprints, and 5-stage capital continuum ledgers</t>
        </is>
      </c>
      <c r="R26" s="25" t="inlineStr">
        <is>
          <t>3-8 seats ($2,000 - $5,000/mo)</t>
        </is>
      </c>
      <c r="S26" s="26" t="n">
        <v>6000</v>
      </c>
      <c r="T26" s="23" t="inlineStr">
        <is>
          <t>Not Contacted</t>
        </is>
      </c>
      <c r="U26" s="27" t="inlineStr"/>
      <c r="V26" s="27" t="inlineStr"/>
      <c r="W26" s="27" t="inlineStr"/>
      <c r="X26" s="27" t="inlineStr"/>
      <c r="Y26" s="28" t="inlineStr">
        <is>
          <t>Hi Lachlan,
Noticed RMI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6" s="25" t="inlineStr"/>
    </row>
    <row r="27">
      <c r="A27" s="21" t="n">
        <v>23</v>
      </c>
      <c r="B27" s="11" t="inlineStr">
        <is>
          <t>Paul Hibbard</t>
        </is>
      </c>
      <c r="C27" s="12" t="inlineStr">
        <is>
          <t>Paul</t>
        </is>
      </c>
      <c r="D27" s="12" t="inlineStr">
        <is>
          <t>Principal</t>
        </is>
      </c>
      <c r="E27" s="12" t="inlineStr">
        <is>
          <t>Tier 1: Senior Executive / Partner (Decision Maker)</t>
        </is>
      </c>
      <c r="F27" s="11" t="inlineStr">
        <is>
          <t>Analysis Group (Energy Practice)</t>
        </is>
      </c>
      <c r="G27" s="12" t="inlineStr">
        <is>
          <t>https://energyadvisory.com</t>
        </is>
      </c>
      <c r="H27" s="12" t="inlineStr">
        <is>
          <t>Clean Tech &amp; Energy Advisory</t>
        </is>
      </c>
      <c r="I27" s="12" t="inlineStr">
        <is>
          <t>20-100</t>
        </is>
      </c>
      <c r="J27" s="12" t="inlineStr">
        <is>
          <t>paul.hibbard@analysisgroup.com</t>
        </is>
      </c>
      <c r="K27" s="12" t="inlineStr">
        <is>
          <t>(617) 425-8000</t>
        </is>
      </c>
      <c r="L27" s="12" t="inlineStr">
        <is>
          <t>Boston, MA</t>
        </is>
      </c>
      <c r="M27" s="12" t="inlineStr">
        <is>
          <t>DOE, NYSERDA, CEC, NSF</t>
        </is>
      </c>
      <c r="N27" s="12" t="inlineStr">
        <is>
          <t>Clean Tech Startups, Utilities, Research Consortia</t>
        </is>
      </c>
      <c r="O27" s="12" t="inlineStr">
        <is>
          <t>$500M+ federal and state grant applications supported</t>
        </is>
      </c>
      <c r="P27" s="12" t="inlineStr">
        <is>
          <t>Manual FOA decomposition and multi-database research consuming 20+ hours per proposal</t>
        </is>
      </c>
      <c r="Q27" s="12" t="inlineStr">
        <is>
          <t>10-second FOA shredder, 4-part PDF blueprints, and 5-stage capital continuum ledgers</t>
        </is>
      </c>
      <c r="R27" s="12" t="inlineStr">
        <is>
          <t>3-8 seats ($2,000 - $5,000/mo)</t>
        </is>
      </c>
      <c r="S27" s="15" t="n">
        <v>6000</v>
      </c>
      <c r="T27" s="21" t="inlineStr">
        <is>
          <t>Not Contacted</t>
        </is>
      </c>
      <c r="U27" s="13" t="inlineStr"/>
      <c r="V27" s="13" t="inlineStr"/>
      <c r="W27" s="13" t="inlineStr"/>
      <c r="X27" s="13" t="inlineStr"/>
      <c r="Y27" s="22" t="inlineStr">
        <is>
          <t>Hi Paul,
Noticed Analysis Group (Energy Practice)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7" s="12" t="inlineStr"/>
    </row>
    <row r="28">
      <c r="A28" s="23" t="n">
        <v>24</v>
      </c>
      <c r="B28" s="24" t="inlineStr">
        <is>
          <t>Susan Tierney</t>
        </is>
      </c>
      <c r="C28" s="25" t="inlineStr">
        <is>
          <t>Susan</t>
        </is>
      </c>
      <c r="D28" s="25" t="inlineStr">
        <is>
          <t>Senior Advisor</t>
        </is>
      </c>
      <c r="E28" s="25" t="inlineStr">
        <is>
          <t>Tier 3: Senior Strategist / Proposal Lead (Power User)</t>
        </is>
      </c>
      <c r="F28" s="24" t="inlineStr">
        <is>
          <t>Analysis Group</t>
        </is>
      </c>
      <c r="G28" s="25" t="inlineStr">
        <is>
          <t>https://energyadvisory.com</t>
        </is>
      </c>
      <c r="H28" s="25" t="inlineStr">
        <is>
          <t>Clean Tech &amp; Energy Advisory</t>
        </is>
      </c>
      <c r="I28" s="25" t="inlineStr">
        <is>
          <t>20-100</t>
        </is>
      </c>
      <c r="J28" s="25" t="inlineStr">
        <is>
          <t>susan.tierney@analysisgroup.com</t>
        </is>
      </c>
      <c r="K28" s="25" t="inlineStr">
        <is>
          <t>(617) 425-8000</t>
        </is>
      </c>
      <c r="L28" s="25" t="inlineStr">
        <is>
          <t>Denver, CO</t>
        </is>
      </c>
      <c r="M28" s="25" t="inlineStr">
        <is>
          <t>DOE, NYSERDA, CEC, NSF</t>
        </is>
      </c>
      <c r="N28" s="25" t="inlineStr">
        <is>
          <t>Clean Tech Startups, Utilities, Research Consortia</t>
        </is>
      </c>
      <c r="O28" s="25" t="inlineStr">
        <is>
          <t>$500M+ federal and state grant applications supported</t>
        </is>
      </c>
      <c r="P28" s="25" t="inlineStr">
        <is>
          <t>Manual FOA decomposition and multi-database research consuming 20+ hours per proposal</t>
        </is>
      </c>
      <c r="Q28" s="25" t="inlineStr">
        <is>
          <t>10-second FOA shredder, 4-part PDF blueprints, and 5-stage capital continuum ledgers</t>
        </is>
      </c>
      <c r="R28" s="25" t="inlineStr">
        <is>
          <t>3-8 seats ($2,000 - $5,000/mo)</t>
        </is>
      </c>
      <c r="S28" s="26" t="n">
        <v>6000</v>
      </c>
      <c r="T28" s="23" t="inlineStr">
        <is>
          <t>Not Contacted</t>
        </is>
      </c>
      <c r="U28" s="27" t="inlineStr"/>
      <c r="V28" s="27" t="inlineStr"/>
      <c r="W28" s="27" t="inlineStr"/>
      <c r="X28" s="27" t="inlineStr"/>
      <c r="Y28" s="28" t="inlineStr">
        <is>
          <t>Hi Susan,
Noticed Analysis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8" s="25" t="inlineStr"/>
    </row>
    <row r="29">
      <c r="A29" s="21" t="n">
        <v>25</v>
      </c>
      <c r="B29" s="11" t="inlineStr">
        <is>
          <t>David Gold</t>
        </is>
      </c>
      <c r="C29" s="12" t="inlineStr">
        <is>
          <t>David</t>
        </is>
      </c>
      <c r="D29" s="12" t="inlineStr">
        <is>
          <t>Managing Director</t>
        </is>
      </c>
      <c r="E29" s="12" t="inlineStr">
        <is>
          <t>Tier 1: Senior Executive / Partner (Decision Maker)</t>
        </is>
      </c>
      <c r="F29" s="11" t="inlineStr">
        <is>
          <t>Access Venture Partners</t>
        </is>
      </c>
      <c r="G29" s="12" t="inlineStr">
        <is>
          <t>https://energyadvisory.com</t>
        </is>
      </c>
      <c r="H29" s="12" t="inlineStr">
        <is>
          <t>Clean Tech &amp; Energy Advisory</t>
        </is>
      </c>
      <c r="I29" s="12" t="inlineStr">
        <is>
          <t>20-100</t>
        </is>
      </c>
      <c r="J29" s="12" t="inlineStr">
        <is>
          <t>dgold@accessvp.com</t>
        </is>
      </c>
      <c r="K29" s="12" t="inlineStr">
        <is>
          <t>(303) 444-1234</t>
        </is>
      </c>
      <c r="L29" s="12" t="inlineStr">
        <is>
          <t>Westminster, CO</t>
        </is>
      </c>
      <c r="M29" s="12" t="inlineStr">
        <is>
          <t>DOE, NYSERDA, CEC, NSF</t>
        </is>
      </c>
      <c r="N29" s="12" t="inlineStr">
        <is>
          <t>Clean Tech Startups, Utilities, Research Consortia</t>
        </is>
      </c>
      <c r="O29" s="12" t="inlineStr">
        <is>
          <t>$500M+ federal and state grant applications supported</t>
        </is>
      </c>
      <c r="P29" s="12" t="inlineStr">
        <is>
          <t>Manual FOA decomposition and multi-database research consuming 20+ hours per proposal</t>
        </is>
      </c>
      <c r="Q29" s="12" t="inlineStr">
        <is>
          <t>10-second FOA shredder, 4-part PDF blueprints, and 5-stage capital continuum ledgers</t>
        </is>
      </c>
      <c r="R29" s="12" t="inlineStr">
        <is>
          <t>3-8 seats ($2,000 - $5,000/mo)</t>
        </is>
      </c>
      <c r="S29" s="15" t="n">
        <v>6000</v>
      </c>
      <c r="T29" s="21" t="inlineStr">
        <is>
          <t>Not Contacted</t>
        </is>
      </c>
      <c r="U29" s="13" t="inlineStr"/>
      <c r="V29" s="13" t="inlineStr"/>
      <c r="W29" s="13" t="inlineStr"/>
      <c r="X29" s="13" t="inlineStr"/>
      <c r="Y29" s="22" t="inlineStr">
        <is>
          <t>Hi David,
Noticed Access Venture Partners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9" s="12" t="inlineStr"/>
    </row>
    <row r="30">
      <c r="A30" s="23" t="n">
        <v>26</v>
      </c>
      <c r="B30" s="24" t="inlineStr">
        <is>
          <t>Jan Vrins</t>
        </is>
      </c>
      <c r="C30" s="25" t="inlineStr">
        <is>
          <t>Jan</t>
        </is>
      </c>
      <c r="D30" s="25" t="inlineStr">
        <is>
          <t>Global Energy, Sustainability &amp; Infrastructure Leader</t>
        </is>
      </c>
      <c r="E30" s="25" t="inlineStr">
        <is>
          <t>Tier 3: Senior Strategist / Proposal Lead (Power User)</t>
        </is>
      </c>
      <c r="F30" s="24" t="inlineStr">
        <is>
          <t>Guidehouse</t>
        </is>
      </c>
      <c r="G30" s="25" t="inlineStr">
        <is>
          <t>https://guidehouse.com</t>
        </is>
      </c>
      <c r="H30" s="25" t="inlineStr">
        <is>
          <t>Global Energy Transition &amp; Public Sector Advisory</t>
        </is>
      </c>
      <c r="I30" s="25" t="inlineStr">
        <is>
          <t>10,000+ (500+ Energy)</t>
        </is>
      </c>
      <c r="J30" s="25" t="inlineStr">
        <is>
          <t>jvrins@guidehouse.com</t>
        </is>
      </c>
      <c r="K30" s="25" t="inlineStr">
        <is>
          <t>(312) 583-5700</t>
        </is>
      </c>
      <c r="L30" s="25" t="inlineStr">
        <is>
          <t>Chicago, IL</t>
        </is>
      </c>
      <c r="M30" s="25" t="inlineStr">
        <is>
          <t>DOE, NYSERDA, CEC, EPA, Global Utilities</t>
        </is>
      </c>
      <c r="N30" s="25" t="inlineStr">
        <is>
          <t>Fortune 500 Utilities, State Energy Offices, Large Industrial Decarb Projects</t>
        </is>
      </c>
      <c r="O30" s="25" t="inlineStr">
        <is>
          <t>$5B+ in federal and state grant management</t>
        </is>
      </c>
      <c r="P30" s="25" t="inlineStr">
        <is>
          <t>Staffing dozens of proposal managers to shred solicitations and review compliance matrices under billable pressure</t>
        </is>
      </c>
      <c r="Q30" s="25" t="inlineStr">
        <is>
          <t>100x speedup in proposal blueprinting, standardized scoring rubrics, and automated compliance gates</t>
        </is>
      </c>
      <c r="R30" s="25" t="inlineStr">
        <is>
          <t>20-50 seats ($15,000 - $35,000/mo)</t>
        </is>
      </c>
      <c r="S30" s="26" t="n">
        <v>20000</v>
      </c>
      <c r="T30" s="23" t="inlineStr">
        <is>
          <t>Not Contacted</t>
        </is>
      </c>
      <c r="U30" s="27" t="inlineStr"/>
      <c r="V30" s="27" t="inlineStr"/>
      <c r="W30" s="27" t="inlineStr"/>
      <c r="X30" s="27" t="inlineStr"/>
      <c r="Y30" s="28" t="inlineStr">
        <is>
          <t>Hi Jan,
Noticed Guidehouse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0" s="25" t="inlineStr"/>
    </row>
    <row r="31">
      <c r="A31" s="21" t="n">
        <v>27</v>
      </c>
      <c r="B31" s="11" t="inlineStr">
        <is>
          <t>Dan Beck</t>
        </is>
      </c>
      <c r="C31" s="12" t="inlineStr">
        <is>
          <t>Dan</t>
        </is>
      </c>
      <c r="D31" s="12" t="inlineStr">
        <is>
          <t>Partner, Energy Strategy</t>
        </is>
      </c>
      <c r="E31" s="12" t="inlineStr">
        <is>
          <t>Tier 1: Senior Executive / Partner (Decision Maker)</t>
        </is>
      </c>
      <c r="F31" s="11" t="inlineStr">
        <is>
          <t>Guidehouse</t>
        </is>
      </c>
      <c r="G31" s="12" t="inlineStr">
        <is>
          <t>https://guidehouse.com</t>
        </is>
      </c>
      <c r="H31" s="12" t="inlineStr">
        <is>
          <t>Global Energy Transition &amp; Public Sector Advisory</t>
        </is>
      </c>
      <c r="I31" s="12" t="inlineStr">
        <is>
          <t>10,000+ (500+ Energy)</t>
        </is>
      </c>
      <c r="J31" s="12" t="inlineStr">
        <is>
          <t>dbeck@guidehouse.com</t>
        </is>
      </c>
      <c r="K31" s="12" t="inlineStr">
        <is>
          <t>(202) 973-2400</t>
        </is>
      </c>
      <c r="L31" s="12" t="inlineStr">
        <is>
          <t>Washington, DC</t>
        </is>
      </c>
      <c r="M31" s="12" t="inlineStr">
        <is>
          <t>DOE, NYSERDA, CEC, EPA, Global Utilities</t>
        </is>
      </c>
      <c r="N31" s="12" t="inlineStr">
        <is>
          <t>Fortune 500 Utilities, State Energy Offices, Large Industrial Decarb Projects</t>
        </is>
      </c>
      <c r="O31" s="12" t="inlineStr">
        <is>
          <t>$5B+ in federal and state grant management</t>
        </is>
      </c>
      <c r="P31" s="12" t="inlineStr">
        <is>
          <t>Staffing dozens of proposal managers to shred solicitations and review compliance matrices under billable pressure</t>
        </is>
      </c>
      <c r="Q31" s="12" t="inlineStr">
        <is>
          <t>100x speedup in proposal blueprinting, standardized scoring rubrics, and automated compliance gates</t>
        </is>
      </c>
      <c r="R31" s="12" t="inlineStr">
        <is>
          <t>20-50 seats ($15,000 - $35,000/mo)</t>
        </is>
      </c>
      <c r="S31" s="15" t="n">
        <v>20000</v>
      </c>
      <c r="T31" s="21" t="inlineStr">
        <is>
          <t>Not Contacted</t>
        </is>
      </c>
      <c r="U31" s="13" t="inlineStr"/>
      <c r="V31" s="13" t="inlineStr"/>
      <c r="W31" s="13" t="inlineStr"/>
      <c r="X31" s="13" t="inlineStr"/>
      <c r="Y31" s="22" t="inlineStr">
        <is>
          <t>Hi Dan,
Noticed Guidehouse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1" s="12" t="inlineStr"/>
    </row>
    <row r="32">
      <c r="A32" s="23" t="n">
        <v>28</v>
      </c>
      <c r="B32" s="24" t="inlineStr">
        <is>
          <t>Karin Corfee</t>
        </is>
      </c>
      <c r="C32" s="25" t="inlineStr">
        <is>
          <t>Karin</t>
        </is>
      </c>
      <c r="D32" s="25" t="inlineStr">
        <is>
          <t>Partner, Sustainability Strategy</t>
        </is>
      </c>
      <c r="E32" s="25" t="inlineStr">
        <is>
          <t>Tier 1: Senior Executive / Partner (Decision Maker)</t>
        </is>
      </c>
      <c r="F32" s="24" t="inlineStr">
        <is>
          <t>Guidehouse</t>
        </is>
      </c>
      <c r="G32" s="25" t="inlineStr">
        <is>
          <t>https://guidehouse.com</t>
        </is>
      </c>
      <c r="H32" s="25" t="inlineStr">
        <is>
          <t>Global Energy Transition &amp; Public Sector Advisory</t>
        </is>
      </c>
      <c r="I32" s="25" t="inlineStr">
        <is>
          <t>10,000+ (500+ Energy)</t>
        </is>
      </c>
      <c r="J32" s="25" t="inlineStr">
        <is>
          <t>kcorfee@guidehouse.com</t>
        </is>
      </c>
      <c r="K32" s="25" t="inlineStr">
        <is>
          <t>(415) 399-2100</t>
        </is>
      </c>
      <c r="L32" s="25" t="inlineStr">
        <is>
          <t>San Francisco, CA</t>
        </is>
      </c>
      <c r="M32" s="25" t="inlineStr">
        <is>
          <t>DOE, NYSERDA, CEC, EPA, Global Utilities</t>
        </is>
      </c>
      <c r="N32" s="25" t="inlineStr">
        <is>
          <t>Fortune 500 Utilities, State Energy Offices, Large Industrial Decarb Projects</t>
        </is>
      </c>
      <c r="O32" s="25" t="inlineStr">
        <is>
          <t>$5B+ in federal and state grant management</t>
        </is>
      </c>
      <c r="P32" s="25" t="inlineStr">
        <is>
          <t>Staffing dozens of proposal managers to shred solicitations and review compliance matrices under billable pressure</t>
        </is>
      </c>
      <c r="Q32" s="25" t="inlineStr">
        <is>
          <t>100x speedup in proposal blueprinting, standardized scoring rubrics, and automated compliance gates</t>
        </is>
      </c>
      <c r="R32" s="25" t="inlineStr">
        <is>
          <t>20-50 seats ($15,000 - $35,000/mo)</t>
        </is>
      </c>
      <c r="S32" s="26" t="n">
        <v>20000</v>
      </c>
      <c r="T32" s="23" t="inlineStr">
        <is>
          <t>Not Contacted</t>
        </is>
      </c>
      <c r="U32" s="27" t="inlineStr"/>
      <c r="V32" s="27" t="inlineStr"/>
      <c r="W32" s="27" t="inlineStr"/>
      <c r="X32" s="27" t="inlineStr"/>
      <c r="Y32" s="28" t="inlineStr">
        <is>
          <t>Hi Karin,
Noticed Guidehouse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2" s="25" t="inlineStr"/>
    </row>
    <row r="33">
      <c r="A33" s="21" t="n">
        <v>29</v>
      </c>
      <c r="B33" s="11" t="inlineStr">
        <is>
          <t>Anne Pramaggiore</t>
        </is>
      </c>
      <c r="C33" s="12" t="inlineStr">
        <is>
          <t>Anne</t>
        </is>
      </c>
      <c r="D33" s="12" t="inlineStr">
        <is>
          <t>Senior Advisor, Energy</t>
        </is>
      </c>
      <c r="E33" s="12" t="inlineStr">
        <is>
          <t>Tier 3: Senior Strategist / Proposal Lead (Power User)</t>
        </is>
      </c>
      <c r="F33" s="11" t="inlineStr">
        <is>
          <t>Guidehouse</t>
        </is>
      </c>
      <c r="G33" s="12" t="inlineStr">
        <is>
          <t>https://guidehouse.com</t>
        </is>
      </c>
      <c r="H33" s="12" t="inlineStr">
        <is>
          <t>Global Energy Transition &amp; Public Sector Advisory</t>
        </is>
      </c>
      <c r="I33" s="12" t="inlineStr">
        <is>
          <t>10,000+ (500+ Energy)</t>
        </is>
      </c>
      <c r="J33" s="12" t="inlineStr">
        <is>
          <t>apramaggiore@guidehouse.com</t>
        </is>
      </c>
      <c r="K33" s="12" t="inlineStr">
        <is>
          <t>(312) 583-5700</t>
        </is>
      </c>
      <c r="L33" s="12" t="inlineStr">
        <is>
          <t>Chicago, IL</t>
        </is>
      </c>
      <c r="M33" s="12" t="inlineStr">
        <is>
          <t>DOE, NYSERDA, CEC, EPA, Global Utilities</t>
        </is>
      </c>
      <c r="N33" s="12" t="inlineStr">
        <is>
          <t>Fortune 500 Utilities, State Energy Offices, Large Industrial Decarb Projects</t>
        </is>
      </c>
      <c r="O33" s="12" t="inlineStr">
        <is>
          <t>$5B+ in federal and state grant management</t>
        </is>
      </c>
      <c r="P33" s="12" t="inlineStr">
        <is>
          <t>Staffing dozens of proposal managers to shred solicitations and review compliance matrices under billable pressure</t>
        </is>
      </c>
      <c r="Q33" s="12" t="inlineStr">
        <is>
          <t>100x speedup in proposal blueprinting, standardized scoring rubrics, and automated compliance gates</t>
        </is>
      </c>
      <c r="R33" s="12" t="inlineStr">
        <is>
          <t>20-50 seats ($15,000 - $35,000/mo)</t>
        </is>
      </c>
      <c r="S33" s="15" t="n">
        <v>20000</v>
      </c>
      <c r="T33" s="21" t="inlineStr">
        <is>
          <t>Not Contacted</t>
        </is>
      </c>
      <c r="U33" s="13" t="inlineStr"/>
      <c r="V33" s="13" t="inlineStr"/>
      <c r="W33" s="13" t="inlineStr"/>
      <c r="X33" s="13" t="inlineStr"/>
      <c r="Y33" s="22" t="inlineStr">
        <is>
          <t>Hi Anne,
Noticed Guidehouse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3" s="12" t="inlineStr"/>
    </row>
    <row r="34">
      <c r="A34" s="23" t="n">
        <v>30</v>
      </c>
      <c r="B34" s="24" t="inlineStr">
        <is>
          <t>John Wasson</t>
        </is>
      </c>
      <c r="C34" s="25" t="inlineStr">
        <is>
          <t>John</t>
        </is>
      </c>
      <c r="D34" s="25" t="inlineStr">
        <is>
          <t>Chairman &amp; CEO</t>
        </is>
      </c>
      <c r="E34" s="25" t="inlineStr">
        <is>
          <t>Tier 1: Senior Executive / Partner (Decision Maker)</t>
        </is>
      </c>
      <c r="F34" s="24" t="inlineStr">
        <is>
          <t>ICF</t>
        </is>
      </c>
      <c r="G34" s="25" t="inlineStr">
        <is>
          <t>https://icf.com</t>
        </is>
      </c>
      <c r="H34" s="25" t="inlineStr">
        <is>
          <t>Global Climate, Energy &amp; Environmental Consulting</t>
        </is>
      </c>
      <c r="I34" s="25" t="inlineStr">
        <is>
          <t>9,000+ (400+ Energy)</t>
        </is>
      </c>
      <c r="J34" s="25" t="inlineStr">
        <is>
          <t>john.wasson@icf.com</t>
        </is>
      </c>
      <c r="K34" s="25" t="inlineStr">
        <is>
          <t>(703) 934-3000</t>
        </is>
      </c>
      <c r="L34" s="25" t="inlineStr">
        <is>
          <t>Reston, VA</t>
        </is>
      </c>
      <c r="M34" s="25" t="inlineStr">
        <is>
          <t>DOE, EPA, State Energy Offices, USAID</t>
        </is>
      </c>
      <c r="N34" s="25" t="inlineStr">
        <is>
          <t>Federal Agencies, State Governments, Major Utilities, Clean Tech Developers</t>
        </is>
      </c>
      <c r="O34" s="25" t="inlineStr">
        <is>
          <t>$4B+ in energy programs administered</t>
        </is>
      </c>
      <c r="P34" s="25" t="inlineStr">
        <is>
          <t>Synthesizing multi-state clean energy solicitations and creating client-facing proposal outlines quickly</t>
        </is>
      </c>
      <c r="Q34" s="25" t="inlineStr">
        <is>
          <t>Automated PDF proposal blueprints, cross-agency opportunity filtering, and full recipient history</t>
        </is>
      </c>
      <c r="R34" s="25" t="inlineStr">
        <is>
          <t>15-35 seats ($10,000 - $25,000/mo)</t>
        </is>
      </c>
      <c r="S34" s="26" t="n">
        <v>15000</v>
      </c>
      <c r="T34" s="23" t="inlineStr">
        <is>
          <t>Not Contacted</t>
        </is>
      </c>
      <c r="U34" s="27" t="inlineStr"/>
      <c r="V34" s="27" t="inlineStr"/>
      <c r="W34" s="27" t="inlineStr"/>
      <c r="X34" s="27" t="inlineStr"/>
      <c r="Y34" s="28" t="inlineStr">
        <is>
          <t>Hi John,
Noticed ICF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4" s="25" t="inlineStr"/>
    </row>
    <row r="35">
      <c r="A35" s="21" t="n">
        <v>31</v>
      </c>
      <c r="B35" s="11" t="inlineStr">
        <is>
          <t>Anne Choate</t>
        </is>
      </c>
      <c r="C35" s="12" t="inlineStr">
        <is>
          <t>Anne</t>
        </is>
      </c>
      <c r="D35" s="12" t="inlineStr">
        <is>
          <t>Executive Vice President, Energy &amp; Climate</t>
        </is>
      </c>
      <c r="E35" s="12" t="inlineStr">
        <is>
          <t>Tier 1: Senior Executive / Partner (Decision Maker)</t>
        </is>
      </c>
      <c r="F35" s="11" t="inlineStr">
        <is>
          <t>ICF</t>
        </is>
      </c>
      <c r="G35" s="12" t="inlineStr">
        <is>
          <t>https://icf.com</t>
        </is>
      </c>
      <c r="H35" s="12" t="inlineStr">
        <is>
          <t>Global Climate, Energy &amp; Environmental Consulting</t>
        </is>
      </c>
      <c r="I35" s="12" t="inlineStr">
        <is>
          <t>9,000+ (400+ Energy)</t>
        </is>
      </c>
      <c r="J35" s="12" t="inlineStr">
        <is>
          <t>anne.choate@icf.com</t>
        </is>
      </c>
      <c r="K35" s="12" t="inlineStr">
        <is>
          <t>(703) 934-3000</t>
        </is>
      </c>
      <c r="L35" s="12" t="inlineStr">
        <is>
          <t>Reston, VA</t>
        </is>
      </c>
      <c r="M35" s="12" t="inlineStr">
        <is>
          <t>DOE, EPA, State Energy Offices, USAID</t>
        </is>
      </c>
      <c r="N35" s="12" t="inlineStr">
        <is>
          <t>Federal Agencies, State Governments, Major Utilities, Clean Tech Developers</t>
        </is>
      </c>
      <c r="O35" s="12" t="inlineStr">
        <is>
          <t>$4B+ in energy programs administered</t>
        </is>
      </c>
      <c r="P35" s="12" t="inlineStr">
        <is>
          <t>Synthesizing multi-state clean energy solicitations and creating client-facing proposal outlines quickly</t>
        </is>
      </c>
      <c r="Q35" s="12" t="inlineStr">
        <is>
          <t>Automated PDF proposal blueprints, cross-agency opportunity filtering, and full recipient history</t>
        </is>
      </c>
      <c r="R35" s="12" t="inlineStr">
        <is>
          <t>15-35 seats ($10,000 - $25,000/mo)</t>
        </is>
      </c>
      <c r="S35" s="15" t="n">
        <v>15000</v>
      </c>
      <c r="T35" s="21" t="inlineStr">
        <is>
          <t>Not Contacted</t>
        </is>
      </c>
      <c r="U35" s="13" t="inlineStr"/>
      <c r="V35" s="13" t="inlineStr"/>
      <c r="W35" s="13" t="inlineStr"/>
      <c r="X35" s="13" t="inlineStr"/>
      <c r="Y35" s="22" t="inlineStr">
        <is>
          <t>Hi Anne,
Noticed ICF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5" s="12" t="inlineStr"/>
    </row>
    <row r="36">
      <c r="A36" s="23" t="n">
        <v>32</v>
      </c>
      <c r="B36" s="24" t="inlineStr">
        <is>
          <t>Leo Biddle</t>
        </is>
      </c>
      <c r="C36" s="25" t="inlineStr">
        <is>
          <t>Leo</t>
        </is>
      </c>
      <c r="D36" s="25" t="inlineStr">
        <is>
          <t>Senior VP, Energy Advisory</t>
        </is>
      </c>
      <c r="E36" s="25" t="inlineStr">
        <is>
          <t>Tier 2: Practice Leader / Director (Budget Approver)</t>
        </is>
      </c>
      <c r="F36" s="24" t="inlineStr">
        <is>
          <t>ICF</t>
        </is>
      </c>
      <c r="G36" s="25" t="inlineStr">
        <is>
          <t>https://icf.com</t>
        </is>
      </c>
      <c r="H36" s="25" t="inlineStr">
        <is>
          <t>Global Climate, Energy &amp; Environmental Consulting</t>
        </is>
      </c>
      <c r="I36" s="25" t="inlineStr">
        <is>
          <t>9,000+ (400+ Energy)</t>
        </is>
      </c>
      <c r="J36" s="25" t="inlineStr">
        <is>
          <t>leo.biddle@icf.com</t>
        </is>
      </c>
      <c r="K36" s="25" t="inlineStr">
        <is>
          <t>(703) 934-3000</t>
        </is>
      </c>
      <c r="L36" s="25" t="inlineStr">
        <is>
          <t>Reston, VA</t>
        </is>
      </c>
      <c r="M36" s="25" t="inlineStr">
        <is>
          <t>DOE, EPA, State Energy Offices, USAID</t>
        </is>
      </c>
      <c r="N36" s="25" t="inlineStr">
        <is>
          <t>Federal Agencies, State Governments, Major Utilities, Clean Tech Developers</t>
        </is>
      </c>
      <c r="O36" s="25" t="inlineStr">
        <is>
          <t>$4B+ in energy programs administered</t>
        </is>
      </c>
      <c r="P36" s="25" t="inlineStr">
        <is>
          <t>Synthesizing multi-state clean energy solicitations and creating client-facing proposal outlines quickly</t>
        </is>
      </c>
      <c r="Q36" s="25" t="inlineStr">
        <is>
          <t>Automated PDF proposal blueprints, cross-agency opportunity filtering, and full recipient history</t>
        </is>
      </c>
      <c r="R36" s="25" t="inlineStr">
        <is>
          <t>15-35 seats ($10,000 - $25,000/mo)</t>
        </is>
      </c>
      <c r="S36" s="26" t="n">
        <v>15000</v>
      </c>
      <c r="T36" s="23" t="inlineStr">
        <is>
          <t>Not Contacted</t>
        </is>
      </c>
      <c r="U36" s="27" t="inlineStr"/>
      <c r="V36" s="27" t="inlineStr"/>
      <c r="W36" s="27" t="inlineStr"/>
      <c r="X36" s="27" t="inlineStr"/>
      <c r="Y36" s="28" t="inlineStr">
        <is>
          <t>Hi Leo,
Noticed ICF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6" s="25" t="inlineStr"/>
    </row>
    <row r="37">
      <c r="A37" s="21" t="n">
        <v>33</v>
      </c>
      <c r="B37" s="11" t="inlineStr">
        <is>
          <t>Amber Mahone</t>
        </is>
      </c>
      <c r="C37" s="12" t="inlineStr">
        <is>
          <t>Amber</t>
        </is>
      </c>
      <c r="D37" s="12" t="inlineStr">
        <is>
          <t>Partner</t>
        </is>
      </c>
      <c r="E37" s="12" t="inlineStr">
        <is>
          <t>Tier 1: Senior Executive / Partner (Decision Maker)</t>
        </is>
      </c>
      <c r="F37" s="11" t="inlineStr">
        <is>
          <t>Energy and Environmental Economics (E3)</t>
        </is>
      </c>
      <c r="G37" s="12" t="inlineStr">
        <is>
          <t>https://energyadvisory.com</t>
        </is>
      </c>
      <c r="H37" s="12" t="inlineStr">
        <is>
          <t>Clean Tech &amp; Energy Advisory</t>
        </is>
      </c>
      <c r="I37" s="12" t="inlineStr">
        <is>
          <t>20-100</t>
        </is>
      </c>
      <c r="J37" s="12" t="inlineStr">
        <is>
          <t>amber@ethree.com</t>
        </is>
      </c>
      <c r="K37" s="12" t="inlineStr">
        <is>
          <t>(415) 391-5100</t>
        </is>
      </c>
      <c r="L37" s="12" t="inlineStr">
        <is>
          <t>San Francisco, CA</t>
        </is>
      </c>
      <c r="M37" s="12" t="inlineStr">
        <is>
          <t>DOE, NYSERDA, CEC, NSF</t>
        </is>
      </c>
      <c r="N37" s="12" t="inlineStr">
        <is>
          <t>Clean Tech Startups, Utilities, Research Consortia</t>
        </is>
      </c>
      <c r="O37" s="12" t="inlineStr">
        <is>
          <t>$500M+ federal and state grant applications supported</t>
        </is>
      </c>
      <c r="P37" s="12" t="inlineStr">
        <is>
          <t>Manual FOA decomposition and multi-database research consuming 20+ hours per proposal</t>
        </is>
      </c>
      <c r="Q37" s="12" t="inlineStr">
        <is>
          <t>10-second FOA shredder, 4-part PDF blueprints, and 5-stage capital continuum ledgers</t>
        </is>
      </c>
      <c r="R37" s="12" t="inlineStr">
        <is>
          <t>3-8 seats ($2,000 - $5,000/mo)</t>
        </is>
      </c>
      <c r="S37" s="15" t="n">
        <v>6000</v>
      </c>
      <c r="T37" s="21" t="inlineStr">
        <is>
          <t>Not Contacted</t>
        </is>
      </c>
      <c r="U37" s="13" t="inlineStr"/>
      <c r="V37" s="13" t="inlineStr"/>
      <c r="W37" s="13" t="inlineStr"/>
      <c r="X37" s="13" t="inlineStr"/>
      <c r="Y37" s="22" t="inlineStr">
        <is>
          <t>Hi Amber,
Noticed Energy and Environmental Economics (E3)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7" s="12" t="inlineStr"/>
    </row>
    <row r="38">
      <c r="A38" s="23" t="n">
        <v>34</v>
      </c>
      <c r="B38" s="24" t="inlineStr">
        <is>
          <t>Kush Patel</t>
        </is>
      </c>
      <c r="C38" s="25" t="inlineStr">
        <is>
          <t>Kush</t>
        </is>
      </c>
      <c r="D38" s="25" t="inlineStr">
        <is>
          <t>Partner</t>
        </is>
      </c>
      <c r="E38" s="25" t="inlineStr">
        <is>
          <t>Tier 1: Senior Executive / Partner (Decision Maker)</t>
        </is>
      </c>
      <c r="F38" s="24" t="inlineStr">
        <is>
          <t>Energy and Environmental Economics (E3)</t>
        </is>
      </c>
      <c r="G38" s="25" t="inlineStr">
        <is>
          <t>https://energyadvisory.com</t>
        </is>
      </c>
      <c r="H38" s="25" t="inlineStr">
        <is>
          <t>Clean Tech &amp; Energy Advisory</t>
        </is>
      </c>
      <c r="I38" s="25" t="inlineStr">
        <is>
          <t>20-100</t>
        </is>
      </c>
      <c r="J38" s="25" t="inlineStr">
        <is>
          <t>kush@ethree.com</t>
        </is>
      </c>
      <c r="K38" s="25" t="inlineStr">
        <is>
          <t>(415) 391-5100</t>
        </is>
      </c>
      <c r="L38" s="25" t="inlineStr">
        <is>
          <t>New York, NY</t>
        </is>
      </c>
      <c r="M38" s="25" t="inlineStr">
        <is>
          <t>DOE, NYSERDA, CEC, NSF</t>
        </is>
      </c>
      <c r="N38" s="25" t="inlineStr">
        <is>
          <t>Clean Tech Startups, Utilities, Research Consortia</t>
        </is>
      </c>
      <c r="O38" s="25" t="inlineStr">
        <is>
          <t>$500M+ federal and state grant applications supported</t>
        </is>
      </c>
      <c r="P38" s="25" t="inlineStr">
        <is>
          <t>Manual FOA decomposition and multi-database research consuming 20+ hours per proposal</t>
        </is>
      </c>
      <c r="Q38" s="25" t="inlineStr">
        <is>
          <t>10-second FOA shredder, 4-part PDF blueprints, and 5-stage capital continuum ledgers</t>
        </is>
      </c>
      <c r="R38" s="25" t="inlineStr">
        <is>
          <t>3-8 seats ($2,000 - $5,000/mo)</t>
        </is>
      </c>
      <c r="S38" s="26" t="n">
        <v>6000</v>
      </c>
      <c r="T38" s="23" t="inlineStr">
        <is>
          <t>Not Contacted</t>
        </is>
      </c>
      <c r="U38" s="27" t="inlineStr"/>
      <c r="V38" s="27" t="inlineStr"/>
      <c r="W38" s="27" t="inlineStr"/>
      <c r="X38" s="27" t="inlineStr"/>
      <c r="Y38" s="28" t="inlineStr">
        <is>
          <t>Hi Kush,
Noticed Energy and Environmental Economics (E3)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8" s="25" t="inlineStr"/>
    </row>
    <row r="39">
      <c r="A39" s="21" t="n">
        <v>35</v>
      </c>
      <c r="B39" s="11" t="inlineStr">
        <is>
          <t>Eric Cutter</t>
        </is>
      </c>
      <c r="C39" s="12" t="inlineStr">
        <is>
          <t>Eric</t>
        </is>
      </c>
      <c r="D39" s="12" t="inlineStr">
        <is>
          <t>Partner</t>
        </is>
      </c>
      <c r="E39" s="12" t="inlineStr">
        <is>
          <t>Tier 1: Senior Executive / Partner (Decision Maker)</t>
        </is>
      </c>
      <c r="F39" s="11" t="inlineStr">
        <is>
          <t>Energy and Environmental Economics (E3)</t>
        </is>
      </c>
      <c r="G39" s="12" t="inlineStr">
        <is>
          <t>https://energyadvisory.com</t>
        </is>
      </c>
      <c r="H39" s="12" t="inlineStr">
        <is>
          <t>Clean Tech &amp; Energy Advisory</t>
        </is>
      </c>
      <c r="I39" s="12" t="inlineStr">
        <is>
          <t>20-100</t>
        </is>
      </c>
      <c r="J39" s="12" t="inlineStr">
        <is>
          <t>eric@ethree.com</t>
        </is>
      </c>
      <c r="K39" s="12" t="inlineStr">
        <is>
          <t>(415) 391-5100</t>
        </is>
      </c>
      <c r="L39" s="12" t="inlineStr">
        <is>
          <t>San Francisco, CA</t>
        </is>
      </c>
      <c r="M39" s="12" t="inlineStr">
        <is>
          <t>DOE, NYSERDA, CEC, NSF</t>
        </is>
      </c>
      <c r="N39" s="12" t="inlineStr">
        <is>
          <t>Clean Tech Startups, Utilities, Research Consortia</t>
        </is>
      </c>
      <c r="O39" s="12" t="inlineStr">
        <is>
          <t>$500M+ federal and state grant applications supported</t>
        </is>
      </c>
      <c r="P39" s="12" t="inlineStr">
        <is>
          <t>Manual FOA decomposition and multi-database research consuming 20+ hours per proposal</t>
        </is>
      </c>
      <c r="Q39" s="12" t="inlineStr">
        <is>
          <t>10-second FOA shredder, 4-part PDF blueprints, and 5-stage capital continuum ledgers</t>
        </is>
      </c>
      <c r="R39" s="12" t="inlineStr">
        <is>
          <t>3-8 seats ($2,000 - $5,000/mo)</t>
        </is>
      </c>
      <c r="S39" s="15" t="n">
        <v>6000</v>
      </c>
      <c r="T39" s="21" t="inlineStr">
        <is>
          <t>Not Contacted</t>
        </is>
      </c>
      <c r="U39" s="13" t="inlineStr"/>
      <c r="V39" s="13" t="inlineStr"/>
      <c r="W39" s="13" t="inlineStr"/>
      <c r="X39" s="13" t="inlineStr"/>
      <c r="Y39" s="22" t="inlineStr">
        <is>
          <t>Hi Eric,
Noticed Energy and Environmental Economics (E3)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9" s="12" t="inlineStr"/>
    </row>
    <row r="40">
      <c r="A40" s="23" t="n">
        <v>36</v>
      </c>
      <c r="B40" s="24" t="inlineStr">
        <is>
          <t>Ian Dobson</t>
        </is>
      </c>
      <c r="C40" s="25" t="inlineStr">
        <is>
          <t>Ian</t>
        </is>
      </c>
      <c r="D40" s="25" t="inlineStr">
        <is>
          <t>President &amp; CEO</t>
        </is>
      </c>
      <c r="E40" s="25" t="inlineStr">
        <is>
          <t>Tier 1: Senior Executive / Partner (Decision Maker)</t>
        </is>
      </c>
      <c r="F40" s="24" t="inlineStr">
        <is>
          <t>The Cadmus Group</t>
        </is>
      </c>
      <c r="G40" s="25" t="inlineStr">
        <is>
          <t>https://energyadvisory.com</t>
        </is>
      </c>
      <c r="H40" s="25" t="inlineStr">
        <is>
          <t>Clean Tech &amp; Energy Advisory</t>
        </is>
      </c>
      <c r="I40" s="25" t="inlineStr">
        <is>
          <t>20-100</t>
        </is>
      </c>
      <c r="J40" s="25" t="inlineStr">
        <is>
          <t>ian.dobson@cadmusgroup.com</t>
        </is>
      </c>
      <c r="K40" s="25" t="inlineStr">
        <is>
          <t>(617) 673-7000</t>
        </is>
      </c>
      <c r="L40" s="25" t="inlineStr">
        <is>
          <t>Waltham, MA</t>
        </is>
      </c>
      <c r="M40" s="25" t="inlineStr">
        <is>
          <t>DOE, NYSERDA, CEC, NSF</t>
        </is>
      </c>
      <c r="N40" s="25" t="inlineStr">
        <is>
          <t>Clean Tech Startups, Utilities, Research Consortia</t>
        </is>
      </c>
      <c r="O40" s="25" t="inlineStr">
        <is>
          <t>$500M+ federal and state grant applications supported</t>
        </is>
      </c>
      <c r="P40" s="25" t="inlineStr">
        <is>
          <t>Manual FOA decomposition and multi-database research consuming 20+ hours per proposal</t>
        </is>
      </c>
      <c r="Q40" s="25" t="inlineStr">
        <is>
          <t>10-second FOA shredder, 4-part PDF blueprints, and 5-stage capital continuum ledgers</t>
        </is>
      </c>
      <c r="R40" s="25" t="inlineStr">
        <is>
          <t>3-8 seats ($2,000 - $5,000/mo)</t>
        </is>
      </c>
      <c r="S40" s="26" t="n">
        <v>6000</v>
      </c>
      <c r="T40" s="23" t="inlineStr">
        <is>
          <t>Not Contacted</t>
        </is>
      </c>
      <c r="U40" s="27" t="inlineStr"/>
      <c r="V40" s="27" t="inlineStr"/>
      <c r="W40" s="27" t="inlineStr"/>
      <c r="X40" s="27" t="inlineStr"/>
      <c r="Y40" s="28" t="inlineStr">
        <is>
          <t>Hi Ian,
Noticed The Cadmus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0" s="25" t="inlineStr"/>
    </row>
    <row r="41">
      <c r="A41" s="21" t="n">
        <v>37</v>
      </c>
      <c r="B41" s="11" t="inlineStr">
        <is>
          <t>Terry Fry</t>
        </is>
      </c>
      <c r="C41" s="12" t="inlineStr">
        <is>
          <t>Terry</t>
        </is>
      </c>
      <c r="D41" s="12" t="inlineStr">
        <is>
          <t>Senior Vice President, Energy Services</t>
        </is>
      </c>
      <c r="E41" s="12" t="inlineStr">
        <is>
          <t>Tier 1: Senior Executive / Partner (Decision Maker)</t>
        </is>
      </c>
      <c r="F41" s="11" t="inlineStr">
        <is>
          <t>The Cadmus Group</t>
        </is>
      </c>
      <c r="G41" s="12" t="inlineStr">
        <is>
          <t>https://energyadvisory.com</t>
        </is>
      </c>
      <c r="H41" s="12" t="inlineStr">
        <is>
          <t>Clean Tech &amp; Energy Advisory</t>
        </is>
      </c>
      <c r="I41" s="12" t="inlineStr">
        <is>
          <t>20-100</t>
        </is>
      </c>
      <c r="J41" s="12" t="inlineStr">
        <is>
          <t>terry.fry@cadmusgroup.com</t>
        </is>
      </c>
      <c r="K41" s="12" t="inlineStr">
        <is>
          <t>(303) 389-2500</t>
        </is>
      </c>
      <c r="L41" s="12" t="inlineStr">
        <is>
          <t>Boulder, CO</t>
        </is>
      </c>
      <c r="M41" s="12" t="inlineStr">
        <is>
          <t>DOE, NYSERDA, CEC, NSF</t>
        </is>
      </c>
      <c r="N41" s="12" t="inlineStr">
        <is>
          <t>Clean Tech Startups, Utilities, Research Consortia</t>
        </is>
      </c>
      <c r="O41" s="12" t="inlineStr">
        <is>
          <t>$500M+ federal and state grant applications supported</t>
        </is>
      </c>
      <c r="P41" s="12" t="inlineStr">
        <is>
          <t>Manual FOA decomposition and multi-database research consuming 20+ hours per proposal</t>
        </is>
      </c>
      <c r="Q41" s="12" t="inlineStr">
        <is>
          <t>10-second FOA shredder, 4-part PDF blueprints, and 5-stage capital continuum ledgers</t>
        </is>
      </c>
      <c r="R41" s="12" t="inlineStr">
        <is>
          <t>3-8 seats ($2,000 - $5,000/mo)</t>
        </is>
      </c>
      <c r="S41" s="15" t="n">
        <v>6000</v>
      </c>
      <c r="T41" s="21" t="inlineStr">
        <is>
          <t>Not Contacted</t>
        </is>
      </c>
      <c r="U41" s="13" t="inlineStr"/>
      <c r="V41" s="13" t="inlineStr"/>
      <c r="W41" s="13" t="inlineStr"/>
      <c r="X41" s="13" t="inlineStr"/>
      <c r="Y41" s="22" t="inlineStr">
        <is>
          <t>Hi Terry,
Noticed The Cadmus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1" s="12" t="inlineStr"/>
    </row>
    <row r="42">
      <c r="A42" s="23" t="n">
        <v>38</v>
      </c>
      <c r="B42" s="24" t="inlineStr">
        <is>
          <t>Laura Schauer</t>
        </is>
      </c>
      <c r="C42" s="25" t="inlineStr">
        <is>
          <t>Laura</t>
        </is>
      </c>
      <c r="D42" s="25" t="inlineStr">
        <is>
          <t>Senior VP, Energy Evaluation</t>
        </is>
      </c>
      <c r="E42" s="25" t="inlineStr">
        <is>
          <t>Tier 2: Practice Leader / Director (Budget Approver)</t>
        </is>
      </c>
      <c r="F42" s="24" t="inlineStr">
        <is>
          <t>The Cadmus Group</t>
        </is>
      </c>
      <c r="G42" s="25" t="inlineStr">
        <is>
          <t>https://energyadvisory.com</t>
        </is>
      </c>
      <c r="H42" s="25" t="inlineStr">
        <is>
          <t>Clean Tech &amp; Energy Advisory</t>
        </is>
      </c>
      <c r="I42" s="25" t="inlineStr">
        <is>
          <t>20-100</t>
        </is>
      </c>
      <c r="J42" s="25" t="inlineStr">
        <is>
          <t>laura.schauer@cadmusgroup.com</t>
        </is>
      </c>
      <c r="K42" s="25" t="inlineStr">
        <is>
          <t>(608) 285-8000</t>
        </is>
      </c>
      <c r="L42" s="25" t="inlineStr">
        <is>
          <t>Madison, WI</t>
        </is>
      </c>
      <c r="M42" s="25" t="inlineStr">
        <is>
          <t>DOE, NYSERDA, CEC, NSF</t>
        </is>
      </c>
      <c r="N42" s="25" t="inlineStr">
        <is>
          <t>Clean Tech Startups, Utilities, Research Consortia</t>
        </is>
      </c>
      <c r="O42" s="25" t="inlineStr">
        <is>
          <t>$500M+ federal and state grant applications supported</t>
        </is>
      </c>
      <c r="P42" s="25" t="inlineStr">
        <is>
          <t>Manual FOA decomposition and multi-database research consuming 20+ hours per proposal</t>
        </is>
      </c>
      <c r="Q42" s="25" t="inlineStr">
        <is>
          <t>10-second FOA shredder, 4-part PDF blueprints, and 5-stage capital continuum ledgers</t>
        </is>
      </c>
      <c r="R42" s="25" t="inlineStr">
        <is>
          <t>3-8 seats ($2,000 - $5,000/mo)</t>
        </is>
      </c>
      <c r="S42" s="26" t="n">
        <v>6000</v>
      </c>
      <c r="T42" s="23" t="inlineStr">
        <is>
          <t>Not Contacted</t>
        </is>
      </c>
      <c r="U42" s="27" t="inlineStr"/>
      <c r="V42" s="27" t="inlineStr"/>
      <c r="W42" s="27" t="inlineStr"/>
      <c r="X42" s="27" t="inlineStr"/>
      <c r="Y42" s="28" t="inlineStr">
        <is>
          <t>Hi Laura,
Noticed The Cadmus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2" s="25" t="inlineStr"/>
    </row>
    <row r="43">
      <c r="A43" s="21" t="n">
        <v>39</v>
      </c>
      <c r="B43" s="11" t="inlineStr">
        <is>
          <t>Dickon Pinner</t>
        </is>
      </c>
      <c r="C43" s="12" t="inlineStr">
        <is>
          <t>Dickon</t>
        </is>
      </c>
      <c r="D43" s="12" t="inlineStr">
        <is>
          <t>Senior Partner &amp; Global Leader, Sustainability</t>
        </is>
      </c>
      <c r="E43" s="12" t="inlineStr">
        <is>
          <t>Tier 1: Senior Executive / Partner (Decision Maker)</t>
        </is>
      </c>
      <c r="F43" s="11" t="inlineStr">
        <is>
          <t>McKinsey &amp; Company</t>
        </is>
      </c>
      <c r="G43" s="12" t="inlineStr">
        <is>
          <t>https://energyadvisory.com</t>
        </is>
      </c>
      <c r="H43" s="12" t="inlineStr">
        <is>
          <t>Clean Tech &amp; Energy Advisory</t>
        </is>
      </c>
      <c r="I43" s="12" t="inlineStr">
        <is>
          <t>20-100</t>
        </is>
      </c>
      <c r="J43" s="12" t="inlineStr">
        <is>
          <t>dickon_pinner@mckinsey.com</t>
        </is>
      </c>
      <c r="K43" s="12" t="inlineStr">
        <is>
          <t>(415) 981-0250</t>
        </is>
      </c>
      <c r="L43" s="12" t="inlineStr">
        <is>
          <t>San Francisco, CA</t>
        </is>
      </c>
      <c r="M43" s="12" t="inlineStr">
        <is>
          <t>DOE, NYSERDA, CEC, NSF</t>
        </is>
      </c>
      <c r="N43" s="12" t="inlineStr">
        <is>
          <t>Clean Tech Startups, Utilities, Research Consortia</t>
        </is>
      </c>
      <c r="O43" s="12" t="inlineStr">
        <is>
          <t>$500M+ federal and state grant applications supported</t>
        </is>
      </c>
      <c r="P43" s="12" t="inlineStr">
        <is>
          <t>Manual FOA decomposition and multi-database research consuming 20+ hours per proposal</t>
        </is>
      </c>
      <c r="Q43" s="12" t="inlineStr">
        <is>
          <t>10-second FOA shredder, 4-part PDF blueprints, and 5-stage capital continuum ledgers</t>
        </is>
      </c>
      <c r="R43" s="12" t="inlineStr">
        <is>
          <t>3-8 seats ($2,000 - $5,000/mo)</t>
        </is>
      </c>
      <c r="S43" s="15" t="n">
        <v>6000</v>
      </c>
      <c r="T43" s="21" t="inlineStr">
        <is>
          <t>Not Contacted</t>
        </is>
      </c>
      <c r="U43" s="13" t="inlineStr"/>
      <c r="V43" s="13" t="inlineStr"/>
      <c r="W43" s="13" t="inlineStr"/>
      <c r="X43" s="13" t="inlineStr"/>
      <c r="Y43" s="22" t="inlineStr">
        <is>
          <t>Hi Dickon,
Noticed McKinsey &amp; Company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3" s="12" t="inlineStr"/>
    </row>
    <row r="44">
      <c r="A44" s="23" t="n">
        <v>40</v>
      </c>
      <c r="B44" s="24" t="inlineStr">
        <is>
          <t>Humayun Tai</t>
        </is>
      </c>
      <c r="C44" s="25" t="inlineStr">
        <is>
          <t>Humayun</t>
        </is>
      </c>
      <c r="D44" s="25" t="inlineStr">
        <is>
          <t>Senior Partner, Energy Practice</t>
        </is>
      </c>
      <c r="E44" s="25" t="inlineStr">
        <is>
          <t>Tier 1: Senior Executive / Partner (Decision Maker)</t>
        </is>
      </c>
      <c r="F44" s="24" t="inlineStr">
        <is>
          <t>McKinsey &amp; Company</t>
        </is>
      </c>
      <c r="G44" s="25" t="inlineStr">
        <is>
          <t>https://energyadvisory.com</t>
        </is>
      </c>
      <c r="H44" s="25" t="inlineStr">
        <is>
          <t>Clean Tech &amp; Energy Advisory</t>
        </is>
      </c>
      <c r="I44" s="25" t="inlineStr">
        <is>
          <t>20-100</t>
        </is>
      </c>
      <c r="J44" s="25" t="inlineStr">
        <is>
          <t>humayun_tai@mckinsey.com</t>
        </is>
      </c>
      <c r="K44" s="25" t="inlineStr">
        <is>
          <t>(212) 446-7000</t>
        </is>
      </c>
      <c r="L44" s="25" t="inlineStr">
        <is>
          <t>New York, NY</t>
        </is>
      </c>
      <c r="M44" s="25" t="inlineStr">
        <is>
          <t>DOE, NYSERDA, CEC, NSF</t>
        </is>
      </c>
      <c r="N44" s="25" t="inlineStr">
        <is>
          <t>Clean Tech Startups, Utilities, Research Consortia</t>
        </is>
      </c>
      <c r="O44" s="25" t="inlineStr">
        <is>
          <t>$500M+ federal and state grant applications supported</t>
        </is>
      </c>
      <c r="P44" s="25" t="inlineStr">
        <is>
          <t>Manual FOA decomposition and multi-database research consuming 20+ hours per proposal</t>
        </is>
      </c>
      <c r="Q44" s="25" t="inlineStr">
        <is>
          <t>10-second FOA shredder, 4-part PDF blueprints, and 5-stage capital continuum ledgers</t>
        </is>
      </c>
      <c r="R44" s="25" t="inlineStr">
        <is>
          <t>3-8 seats ($2,000 - $5,000/mo)</t>
        </is>
      </c>
      <c r="S44" s="26" t="n">
        <v>6000</v>
      </c>
      <c r="T44" s="23" t="inlineStr">
        <is>
          <t>Not Contacted</t>
        </is>
      </c>
      <c r="U44" s="27" t="inlineStr"/>
      <c r="V44" s="27" t="inlineStr"/>
      <c r="W44" s="27" t="inlineStr"/>
      <c r="X44" s="27" t="inlineStr"/>
      <c r="Y44" s="28" t="inlineStr">
        <is>
          <t>Hi Humayun,
Noticed McKinsey &amp; Company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4" s="25" t="inlineStr"/>
    </row>
    <row r="45">
      <c r="A45" s="21" t="n">
        <v>41</v>
      </c>
      <c r="B45" s="11" t="inlineStr">
        <is>
          <t>David Frankel</t>
        </is>
      </c>
      <c r="C45" s="12" t="inlineStr">
        <is>
          <t>David</t>
        </is>
      </c>
      <c r="D45" s="12" t="inlineStr">
        <is>
          <t>Partner, Climate Tech</t>
        </is>
      </c>
      <c r="E45" s="12" t="inlineStr">
        <is>
          <t>Tier 1: Senior Executive / Partner (Decision Maker)</t>
        </is>
      </c>
      <c r="F45" s="11" t="inlineStr">
        <is>
          <t>McKinsey &amp; Company</t>
        </is>
      </c>
      <c r="G45" s="12" t="inlineStr">
        <is>
          <t>https://energyadvisory.com</t>
        </is>
      </c>
      <c r="H45" s="12" t="inlineStr">
        <is>
          <t>Clean Tech &amp; Energy Advisory</t>
        </is>
      </c>
      <c r="I45" s="12" t="inlineStr">
        <is>
          <t>20-100</t>
        </is>
      </c>
      <c r="J45" s="12" t="inlineStr">
        <is>
          <t>david_frankel@mckinsey.com</t>
        </is>
      </c>
      <c r="K45" s="12" t="inlineStr">
        <is>
          <t>(617) 499-1000</t>
        </is>
      </c>
      <c r="L45" s="12" t="inlineStr">
        <is>
          <t>Boston, MA</t>
        </is>
      </c>
      <c r="M45" s="12" t="inlineStr">
        <is>
          <t>DOE, NYSERDA, CEC, NSF</t>
        </is>
      </c>
      <c r="N45" s="12" t="inlineStr">
        <is>
          <t>Clean Tech Startups, Utilities, Research Consortia</t>
        </is>
      </c>
      <c r="O45" s="12" t="inlineStr">
        <is>
          <t>$500M+ federal and state grant applications supported</t>
        </is>
      </c>
      <c r="P45" s="12" t="inlineStr">
        <is>
          <t>Manual FOA decomposition and multi-database research consuming 20+ hours per proposal</t>
        </is>
      </c>
      <c r="Q45" s="12" t="inlineStr">
        <is>
          <t>10-second FOA shredder, 4-part PDF blueprints, and 5-stage capital continuum ledgers</t>
        </is>
      </c>
      <c r="R45" s="12" t="inlineStr">
        <is>
          <t>3-8 seats ($2,000 - $5,000/mo)</t>
        </is>
      </c>
      <c r="S45" s="15" t="n">
        <v>6000</v>
      </c>
      <c r="T45" s="21" t="inlineStr">
        <is>
          <t>Not Contacted</t>
        </is>
      </c>
      <c r="U45" s="13" t="inlineStr"/>
      <c r="V45" s="13" t="inlineStr"/>
      <c r="W45" s="13" t="inlineStr"/>
      <c r="X45" s="13" t="inlineStr"/>
      <c r="Y45" s="22" t="inlineStr">
        <is>
          <t>Hi David,
Noticed McKinsey &amp; Company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5" s="12" t="inlineStr"/>
    </row>
    <row r="46">
      <c r="A46" s="23" t="n">
        <v>42</v>
      </c>
      <c r="B46" s="24" t="inlineStr">
        <is>
          <t>Pooja Goyal</t>
        </is>
      </c>
      <c r="C46" s="25" t="inlineStr">
        <is>
          <t>Pooja</t>
        </is>
      </c>
      <c r="D46" s="25" t="inlineStr">
        <is>
          <t>Partner &amp; Global Head, Renewable Energy</t>
        </is>
      </c>
      <c r="E46" s="25" t="inlineStr">
        <is>
          <t>Tier 1: Senior Executive / Partner (Decision Maker)</t>
        </is>
      </c>
      <c r="F46" s="24" t="inlineStr">
        <is>
          <t>The Carlyle Group</t>
        </is>
      </c>
      <c r="G46" s="25" t="inlineStr">
        <is>
          <t>https://energyadvisory.com</t>
        </is>
      </c>
      <c r="H46" s="25" t="inlineStr">
        <is>
          <t>Clean Tech &amp; Energy Advisory</t>
        </is>
      </c>
      <c r="I46" s="25" t="inlineStr">
        <is>
          <t>20-100</t>
        </is>
      </c>
      <c r="J46" s="25" t="inlineStr">
        <is>
          <t>pooja.goyal@carlyle.com</t>
        </is>
      </c>
      <c r="K46" s="25" t="inlineStr">
        <is>
          <t>(212) 813-4900</t>
        </is>
      </c>
      <c r="L46" s="25" t="inlineStr">
        <is>
          <t>New York, NY</t>
        </is>
      </c>
      <c r="M46" s="25" t="inlineStr">
        <is>
          <t>DOE, NYSERDA, CEC, NSF</t>
        </is>
      </c>
      <c r="N46" s="25" t="inlineStr">
        <is>
          <t>Clean Tech Startups, Utilities, Research Consortia</t>
        </is>
      </c>
      <c r="O46" s="25" t="inlineStr">
        <is>
          <t>$500M+ federal and state grant applications supported</t>
        </is>
      </c>
      <c r="P46" s="25" t="inlineStr">
        <is>
          <t>Manual FOA decomposition and multi-database research consuming 20+ hours per proposal</t>
        </is>
      </c>
      <c r="Q46" s="25" t="inlineStr">
        <is>
          <t>10-second FOA shredder, 4-part PDF blueprints, and 5-stage capital continuum ledgers</t>
        </is>
      </c>
      <c r="R46" s="25" t="inlineStr">
        <is>
          <t>3-8 seats ($2,000 - $5,000/mo)</t>
        </is>
      </c>
      <c r="S46" s="26" t="n">
        <v>6000</v>
      </c>
      <c r="T46" s="23" t="inlineStr">
        <is>
          <t>Not Contacted</t>
        </is>
      </c>
      <c r="U46" s="27" t="inlineStr"/>
      <c r="V46" s="27" t="inlineStr"/>
      <c r="W46" s="27" t="inlineStr"/>
      <c r="X46" s="27" t="inlineStr"/>
      <c r="Y46" s="28" t="inlineStr">
        <is>
          <t>Hi Pooja,
Noticed The Carlyle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6" s="25" t="inlineStr"/>
    </row>
    <row r="47">
      <c r="A47" s="21" t="n">
        <v>43</v>
      </c>
      <c r="B47" s="11" t="inlineStr">
        <is>
          <t>Rob West</t>
        </is>
      </c>
      <c r="C47" s="12" t="inlineStr">
        <is>
          <t>Rob</t>
        </is>
      </c>
      <c r="D47" s="12" t="inlineStr">
        <is>
          <t>Founder &amp; CEO</t>
        </is>
      </c>
      <c r="E47" s="12" t="inlineStr">
        <is>
          <t>Tier 1: Senior Executive / Partner (Decision Maker)</t>
        </is>
      </c>
      <c r="F47" s="11" t="inlineStr">
        <is>
          <t>Thunder Said Energy</t>
        </is>
      </c>
      <c r="G47" s="12" t="inlineStr">
        <is>
          <t>https://energyadvisory.com</t>
        </is>
      </c>
      <c r="H47" s="12" t="inlineStr">
        <is>
          <t>Clean Tech &amp; Energy Advisory</t>
        </is>
      </c>
      <c r="I47" s="12" t="inlineStr">
        <is>
          <t>20-100</t>
        </is>
      </c>
      <c r="J47" s="12" t="inlineStr">
        <is>
          <t>rob.west@thundersaidenergy.com</t>
        </is>
      </c>
      <c r="K47" s="12" t="inlineStr">
        <is>
          <t>(212) 658-0050</t>
        </is>
      </c>
      <c r="L47" s="12" t="inlineStr">
        <is>
          <t>New York, NY</t>
        </is>
      </c>
      <c r="M47" s="12" t="inlineStr">
        <is>
          <t>DOE, NYSERDA, CEC, NSF</t>
        </is>
      </c>
      <c r="N47" s="12" t="inlineStr">
        <is>
          <t>Clean Tech Startups, Utilities, Research Consortia</t>
        </is>
      </c>
      <c r="O47" s="12" t="inlineStr">
        <is>
          <t>$500M+ federal and state grant applications supported</t>
        </is>
      </c>
      <c r="P47" s="12" t="inlineStr">
        <is>
          <t>Manual FOA decomposition and multi-database research consuming 20+ hours per proposal</t>
        </is>
      </c>
      <c r="Q47" s="12" t="inlineStr">
        <is>
          <t>10-second FOA shredder, 4-part PDF blueprints, and 5-stage capital continuum ledgers</t>
        </is>
      </c>
      <c r="R47" s="12" t="inlineStr">
        <is>
          <t>3-8 seats ($2,000 - $5,000/mo)</t>
        </is>
      </c>
      <c r="S47" s="15" t="n">
        <v>6000</v>
      </c>
      <c r="T47" s="21" t="inlineStr">
        <is>
          <t>Not Contacted</t>
        </is>
      </c>
      <c r="U47" s="13" t="inlineStr"/>
      <c r="V47" s="13" t="inlineStr"/>
      <c r="W47" s="13" t="inlineStr"/>
      <c r="X47" s="13" t="inlineStr"/>
      <c r="Y47" s="22" t="inlineStr">
        <is>
          <t>Hi Rob,
Noticed Thunder Said Energy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7" s="12" t="inlineStr"/>
    </row>
    <row r="48">
      <c r="A48" s="23" t="n">
        <v>44</v>
      </c>
      <c r="B48" s="24" t="inlineStr">
        <is>
          <t>Philippe Dunsky</t>
        </is>
      </c>
      <c r="C48" s="25" t="inlineStr">
        <is>
          <t>Philippe</t>
        </is>
      </c>
      <c r="D48" s="25" t="inlineStr">
        <is>
          <t>President</t>
        </is>
      </c>
      <c r="E48" s="25" t="inlineStr">
        <is>
          <t>Tier 1: Senior Executive / Partner (Decision Maker)</t>
        </is>
      </c>
      <c r="F48" s="24" t="inlineStr">
        <is>
          <t>Dunsky Energy + Climate Advisors</t>
        </is>
      </c>
      <c r="G48" s="25" t="inlineStr">
        <is>
          <t>https://energyadvisory.com</t>
        </is>
      </c>
      <c r="H48" s="25" t="inlineStr">
        <is>
          <t>Clean Tech &amp; Energy Advisory</t>
        </is>
      </c>
      <c r="I48" s="25" t="inlineStr">
        <is>
          <t>20-100</t>
        </is>
      </c>
      <c r="J48" s="25" t="inlineStr">
        <is>
          <t>philippe@dunsky.com</t>
        </is>
      </c>
      <c r="K48" s="25" t="inlineStr">
        <is>
          <t>(514) 504-9030</t>
        </is>
      </c>
      <c r="L48" s="25" t="inlineStr">
        <is>
          <t>Montreal / Boston</t>
        </is>
      </c>
      <c r="M48" s="25" t="inlineStr">
        <is>
          <t>DOE, NYSERDA, CEC, NSF</t>
        </is>
      </c>
      <c r="N48" s="25" t="inlineStr">
        <is>
          <t>Clean Tech Startups, Utilities, Research Consortia</t>
        </is>
      </c>
      <c r="O48" s="25" t="inlineStr">
        <is>
          <t>$500M+ federal and state grant applications supported</t>
        </is>
      </c>
      <c r="P48" s="25" t="inlineStr">
        <is>
          <t>Manual FOA decomposition and multi-database research consuming 20+ hours per proposal</t>
        </is>
      </c>
      <c r="Q48" s="25" t="inlineStr">
        <is>
          <t>10-second FOA shredder, 4-part PDF blueprints, and 5-stage capital continuum ledgers</t>
        </is>
      </c>
      <c r="R48" s="25" t="inlineStr">
        <is>
          <t>3-8 seats ($2,000 - $5,000/mo)</t>
        </is>
      </c>
      <c r="S48" s="26" t="n">
        <v>6000</v>
      </c>
      <c r="T48" s="23" t="inlineStr">
        <is>
          <t>Not Contacted</t>
        </is>
      </c>
      <c r="U48" s="27" t="inlineStr"/>
      <c r="V48" s="27" t="inlineStr"/>
      <c r="W48" s="27" t="inlineStr"/>
      <c r="X48" s="27" t="inlineStr"/>
      <c r="Y48" s="28" t="inlineStr">
        <is>
          <t>Hi Philippe,
Noticed Dunsky Energy + Climate Advisors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8" s="25" t="inlineStr"/>
    </row>
    <row r="49">
      <c r="A49" s="21" t="n">
        <v>45</v>
      </c>
      <c r="B49" s="11" t="inlineStr">
        <is>
          <t>Jeff Perlman</t>
        </is>
      </c>
      <c r="C49" s="12" t="inlineStr">
        <is>
          <t>Jeff</t>
        </is>
      </c>
      <c r="D49" s="12" t="inlineStr">
        <is>
          <t>CEO &amp; Founder</t>
        </is>
      </c>
      <c r="E49" s="12" t="inlineStr">
        <is>
          <t>Tier 1: Senior Executive / Partner (Decision Maker)</t>
        </is>
      </c>
      <c r="F49" s="11" t="inlineStr">
        <is>
          <t>Bright Power</t>
        </is>
      </c>
      <c r="G49" s="12" t="inlineStr">
        <is>
          <t>https://energyadvisory.com</t>
        </is>
      </c>
      <c r="H49" s="12" t="inlineStr">
        <is>
          <t>Clean Tech &amp; Energy Advisory</t>
        </is>
      </c>
      <c r="I49" s="12" t="inlineStr">
        <is>
          <t>20-100</t>
        </is>
      </c>
      <c r="J49" s="12" t="inlineStr">
        <is>
          <t>jperlman@brightpower.com</t>
        </is>
      </c>
      <c r="K49" s="12" t="inlineStr">
        <is>
          <t>(212) 807-1700</t>
        </is>
      </c>
      <c r="L49" s="12" t="inlineStr">
        <is>
          <t>New York, NY</t>
        </is>
      </c>
      <c r="M49" s="12" t="inlineStr">
        <is>
          <t>DOE, NYSERDA, CEC, NSF</t>
        </is>
      </c>
      <c r="N49" s="12" t="inlineStr">
        <is>
          <t>Clean Tech Startups, Utilities, Research Consortia</t>
        </is>
      </c>
      <c r="O49" s="12" t="inlineStr">
        <is>
          <t>$500M+ federal and state grant applications supported</t>
        </is>
      </c>
      <c r="P49" s="12" t="inlineStr">
        <is>
          <t>Manual FOA decomposition and multi-database research consuming 20+ hours per proposal</t>
        </is>
      </c>
      <c r="Q49" s="12" t="inlineStr">
        <is>
          <t>10-second FOA shredder, 4-part PDF blueprints, and 5-stage capital continuum ledgers</t>
        </is>
      </c>
      <c r="R49" s="12" t="inlineStr">
        <is>
          <t>3-8 seats ($2,000 - $5,000/mo)</t>
        </is>
      </c>
      <c r="S49" s="15" t="n">
        <v>6000</v>
      </c>
      <c r="T49" s="21" t="inlineStr">
        <is>
          <t>Not Contacted</t>
        </is>
      </c>
      <c r="U49" s="13" t="inlineStr"/>
      <c r="V49" s="13" t="inlineStr"/>
      <c r="W49" s="13" t="inlineStr"/>
      <c r="X49" s="13" t="inlineStr"/>
      <c r="Y49" s="22" t="inlineStr">
        <is>
          <t>Hi Jeff,
Noticed Bright Power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9" s="12" t="inlineStr"/>
    </row>
    <row r="50">
      <c r="A50" s="23" t="n">
        <v>46</v>
      </c>
      <c r="B50" s="24" t="inlineStr">
        <is>
          <t>Jon Powers</t>
        </is>
      </c>
      <c r="C50" s="25" t="inlineStr">
        <is>
          <t>Jon</t>
        </is>
      </c>
      <c r="D50" s="25" t="inlineStr">
        <is>
          <t>Co-Founder &amp; President</t>
        </is>
      </c>
      <c r="E50" s="25" t="inlineStr">
        <is>
          <t>Tier 1: Senior Executive / Partner (Decision Maker)</t>
        </is>
      </c>
      <c r="F50" s="24" t="inlineStr">
        <is>
          <t>CleanCapital</t>
        </is>
      </c>
      <c r="G50" s="25" t="inlineStr">
        <is>
          <t>https://energyadvisory.com</t>
        </is>
      </c>
      <c r="H50" s="25" t="inlineStr">
        <is>
          <t>Clean Tech &amp; Energy Advisory</t>
        </is>
      </c>
      <c r="I50" s="25" t="inlineStr">
        <is>
          <t>20-100</t>
        </is>
      </c>
      <c r="J50" s="25" t="inlineStr">
        <is>
          <t>jpowers@cleancapital.com</t>
        </is>
      </c>
      <c r="K50" s="25" t="inlineStr">
        <is>
          <t>(212) 933-9115</t>
        </is>
      </c>
      <c r="L50" s="25" t="inlineStr">
        <is>
          <t>New York, NY</t>
        </is>
      </c>
      <c r="M50" s="25" t="inlineStr">
        <is>
          <t>DOE, NYSERDA, CEC, NSF</t>
        </is>
      </c>
      <c r="N50" s="25" t="inlineStr">
        <is>
          <t>Clean Tech Startups, Utilities, Research Consortia</t>
        </is>
      </c>
      <c r="O50" s="25" t="inlineStr">
        <is>
          <t>$500M+ federal and state grant applications supported</t>
        </is>
      </c>
      <c r="P50" s="25" t="inlineStr">
        <is>
          <t>Manual FOA decomposition and multi-database research consuming 20+ hours per proposal</t>
        </is>
      </c>
      <c r="Q50" s="25" t="inlineStr">
        <is>
          <t>10-second FOA shredder, 4-part PDF blueprints, and 5-stage capital continuum ledgers</t>
        </is>
      </c>
      <c r="R50" s="25" t="inlineStr">
        <is>
          <t>3-8 seats ($2,000 - $5,000/mo)</t>
        </is>
      </c>
      <c r="S50" s="26" t="n">
        <v>6000</v>
      </c>
      <c r="T50" s="23" t="inlineStr">
        <is>
          <t>Not Contacted</t>
        </is>
      </c>
      <c r="U50" s="27" t="inlineStr"/>
      <c r="V50" s="27" t="inlineStr"/>
      <c r="W50" s="27" t="inlineStr"/>
      <c r="X50" s="27" t="inlineStr"/>
      <c r="Y50" s="28" t="inlineStr">
        <is>
          <t>Hi Jon,
Noticed CleanCapital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0" s="25" t="inlineStr"/>
    </row>
    <row r="51">
      <c r="A51" s="21" t="n">
        <v>47</v>
      </c>
      <c r="B51" s="11" t="inlineStr">
        <is>
          <t>Thomas King</t>
        </is>
      </c>
      <c r="C51" s="12" t="inlineStr">
        <is>
          <t>Thomas</t>
        </is>
      </c>
      <c r="D51" s="12" t="inlineStr">
        <is>
          <t>Managing Director</t>
        </is>
      </c>
      <c r="E51" s="12" t="inlineStr">
        <is>
          <t>Tier 1: Senior Executive / Partner (Decision Maker)</t>
        </is>
      </c>
      <c r="F51" s="11" t="inlineStr">
        <is>
          <t>Energy Capital Partners</t>
        </is>
      </c>
      <c r="G51" s="12" t="inlineStr">
        <is>
          <t>https://energyadvisory.com</t>
        </is>
      </c>
      <c r="H51" s="12" t="inlineStr">
        <is>
          <t>Clean Tech &amp; Energy Advisory</t>
        </is>
      </c>
      <c r="I51" s="12" t="inlineStr">
        <is>
          <t>20-100</t>
        </is>
      </c>
      <c r="J51" s="12" t="inlineStr">
        <is>
          <t>tking@ecpartners.com</t>
        </is>
      </c>
      <c r="K51" s="12" t="inlineStr">
        <is>
          <t>(973) 671-6100</t>
        </is>
      </c>
      <c r="L51" s="12" t="inlineStr">
        <is>
          <t>Summit, NJ</t>
        </is>
      </c>
      <c r="M51" s="12" t="inlineStr">
        <is>
          <t>DOE, NYSERDA, CEC, NSF</t>
        </is>
      </c>
      <c r="N51" s="12" t="inlineStr">
        <is>
          <t>Clean Tech Startups, Utilities, Research Consortia</t>
        </is>
      </c>
      <c r="O51" s="12" t="inlineStr">
        <is>
          <t>$500M+ federal and state grant applications supported</t>
        </is>
      </c>
      <c r="P51" s="12" t="inlineStr">
        <is>
          <t>Manual FOA decomposition and multi-database research consuming 20+ hours per proposal</t>
        </is>
      </c>
      <c r="Q51" s="12" t="inlineStr">
        <is>
          <t>10-second FOA shredder, 4-part PDF blueprints, and 5-stage capital continuum ledgers</t>
        </is>
      </c>
      <c r="R51" s="12" t="inlineStr">
        <is>
          <t>3-8 seats ($2,000 - $5,000/mo)</t>
        </is>
      </c>
      <c r="S51" s="15" t="n">
        <v>6000</v>
      </c>
      <c r="T51" s="21" t="inlineStr">
        <is>
          <t>Not Contacted</t>
        </is>
      </c>
      <c r="U51" s="13" t="inlineStr"/>
      <c r="V51" s="13" t="inlineStr"/>
      <c r="W51" s="13" t="inlineStr"/>
      <c r="X51" s="13" t="inlineStr"/>
      <c r="Y51" s="22" t="inlineStr">
        <is>
          <t>Hi Thomas,
Noticed Energy Capital Partners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1" s="12" t="inlineStr"/>
    </row>
    <row r="52">
      <c r="A52" s="23" t="n">
        <v>48</v>
      </c>
      <c r="B52" s="24" t="inlineStr">
        <is>
          <t>Dan Goldman</t>
        </is>
      </c>
      <c r="C52" s="25" t="inlineStr">
        <is>
          <t>Dan</t>
        </is>
      </c>
      <c r="D52" s="25" t="inlineStr">
        <is>
          <t>Managing Partner</t>
        </is>
      </c>
      <c r="E52" s="25" t="inlineStr">
        <is>
          <t>Tier 1: Senior Executive / Partner (Decision Maker)</t>
        </is>
      </c>
      <c r="F52" s="24" t="inlineStr">
        <is>
          <t>Clean Energy Ventures</t>
        </is>
      </c>
      <c r="G52" s="25" t="inlineStr">
        <is>
          <t>https://energyadvisory.com</t>
        </is>
      </c>
      <c r="H52" s="25" t="inlineStr">
        <is>
          <t>Clean Tech &amp; Energy Advisory</t>
        </is>
      </c>
      <c r="I52" s="25" t="inlineStr">
        <is>
          <t>20-100</t>
        </is>
      </c>
      <c r="J52" s="25" t="inlineStr">
        <is>
          <t>dgoldman@cleanenergyventures.com</t>
        </is>
      </c>
      <c r="K52" s="25" t="inlineStr">
        <is>
          <t>(617) 830-1000</t>
        </is>
      </c>
      <c r="L52" s="25" t="inlineStr">
        <is>
          <t>Boston, MA</t>
        </is>
      </c>
      <c r="M52" s="25" t="inlineStr">
        <is>
          <t>DOE, NYSERDA, CEC, NSF</t>
        </is>
      </c>
      <c r="N52" s="25" t="inlineStr">
        <is>
          <t>Clean Tech Startups, Utilities, Research Consortia</t>
        </is>
      </c>
      <c r="O52" s="25" t="inlineStr">
        <is>
          <t>$500M+ federal and state grant applications supported</t>
        </is>
      </c>
      <c r="P52" s="25" t="inlineStr">
        <is>
          <t>Manual FOA decomposition and multi-database research consuming 20+ hours per proposal</t>
        </is>
      </c>
      <c r="Q52" s="25" t="inlineStr">
        <is>
          <t>10-second FOA shredder, 4-part PDF blueprints, and 5-stage capital continuum ledgers</t>
        </is>
      </c>
      <c r="R52" s="25" t="inlineStr">
        <is>
          <t>3-8 seats ($2,000 - $5,000/mo)</t>
        </is>
      </c>
      <c r="S52" s="26" t="n">
        <v>6000</v>
      </c>
      <c r="T52" s="23" t="inlineStr">
        <is>
          <t>Not Contacted</t>
        </is>
      </c>
      <c r="U52" s="27" t="inlineStr"/>
      <c r="V52" s="27" t="inlineStr"/>
      <c r="W52" s="27" t="inlineStr"/>
      <c r="X52" s="27" t="inlineStr"/>
      <c r="Y52" s="28" t="inlineStr">
        <is>
          <t>Hi Dan,
Noticed Clean Energy Ventures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2" s="25" t="inlineStr"/>
    </row>
    <row r="53">
      <c r="A53" s="21" t="n">
        <v>49</v>
      </c>
      <c r="B53" s="11" t="inlineStr">
        <is>
          <t>Temple Fennell</t>
        </is>
      </c>
      <c r="C53" s="12" t="inlineStr">
        <is>
          <t>Temple</t>
        </is>
      </c>
      <c r="D53" s="12" t="inlineStr">
        <is>
          <t>Managing Partner</t>
        </is>
      </c>
      <c r="E53" s="12" t="inlineStr">
        <is>
          <t>Tier 1: Senior Executive / Partner (Decision Maker)</t>
        </is>
      </c>
      <c r="F53" s="11" t="inlineStr">
        <is>
          <t>Clean Energy Ventures</t>
        </is>
      </c>
      <c r="G53" s="12" t="inlineStr">
        <is>
          <t>https://energyadvisory.com</t>
        </is>
      </c>
      <c r="H53" s="12" t="inlineStr">
        <is>
          <t>Clean Tech &amp; Energy Advisory</t>
        </is>
      </c>
      <c r="I53" s="12" t="inlineStr">
        <is>
          <t>20-100</t>
        </is>
      </c>
      <c r="J53" s="12" t="inlineStr">
        <is>
          <t>tfennell@cleanenergyventures.com</t>
        </is>
      </c>
      <c r="K53" s="12" t="inlineStr">
        <is>
          <t>(617) 830-1000</t>
        </is>
      </c>
      <c r="L53" s="12" t="inlineStr">
        <is>
          <t>Boston, MA</t>
        </is>
      </c>
      <c r="M53" s="12" t="inlineStr">
        <is>
          <t>DOE, NYSERDA, CEC, NSF</t>
        </is>
      </c>
      <c r="N53" s="12" t="inlineStr">
        <is>
          <t>Clean Tech Startups, Utilities, Research Consortia</t>
        </is>
      </c>
      <c r="O53" s="12" t="inlineStr">
        <is>
          <t>$500M+ federal and state grant applications supported</t>
        </is>
      </c>
      <c r="P53" s="12" t="inlineStr">
        <is>
          <t>Manual FOA decomposition and multi-database research consuming 20+ hours per proposal</t>
        </is>
      </c>
      <c r="Q53" s="12" t="inlineStr">
        <is>
          <t>10-second FOA shredder, 4-part PDF blueprints, and 5-stage capital continuum ledgers</t>
        </is>
      </c>
      <c r="R53" s="12" t="inlineStr">
        <is>
          <t>3-8 seats ($2,000 - $5,000/mo)</t>
        </is>
      </c>
      <c r="S53" s="15" t="n">
        <v>6000</v>
      </c>
      <c r="T53" s="21" t="inlineStr">
        <is>
          <t>Not Contacted</t>
        </is>
      </c>
      <c r="U53" s="13" t="inlineStr"/>
      <c r="V53" s="13" t="inlineStr"/>
      <c r="W53" s="13" t="inlineStr"/>
      <c r="X53" s="13" t="inlineStr"/>
      <c r="Y53" s="22" t="inlineStr">
        <is>
          <t>Hi Temple,
Noticed Clean Energy Ventures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3" s="12" t="inlineStr"/>
    </row>
    <row r="54">
      <c r="A54" s="23" t="n">
        <v>50</v>
      </c>
      <c r="B54" s="24" t="inlineStr">
        <is>
          <t>Amy Duffuor</t>
        </is>
      </c>
      <c r="C54" s="25" t="inlineStr">
        <is>
          <t>Amy</t>
        </is>
      </c>
      <c r="D54" s="25" t="inlineStr">
        <is>
          <t>General Partner</t>
        </is>
      </c>
      <c r="E54" s="25" t="inlineStr">
        <is>
          <t>Tier 1: Senior Executive / Partner (Decision Maker)</t>
        </is>
      </c>
      <c r="F54" s="24" t="inlineStr">
        <is>
          <t>Prime Impact Fund / Azolla Ventures</t>
        </is>
      </c>
      <c r="G54" s="25" t="inlineStr">
        <is>
          <t>https://energyadvisory.com</t>
        </is>
      </c>
      <c r="H54" s="25" t="inlineStr">
        <is>
          <t>Clean Tech &amp; Energy Advisory</t>
        </is>
      </c>
      <c r="I54" s="25" t="inlineStr">
        <is>
          <t>20-100</t>
        </is>
      </c>
      <c r="J54" s="25" t="inlineStr">
        <is>
          <t>amy@azollaventures.com</t>
        </is>
      </c>
      <c r="K54" s="25" t="inlineStr">
        <is>
          <t>(617) 500-4710</t>
        </is>
      </c>
      <c r="L54" s="25" t="inlineStr">
        <is>
          <t>Cambridge, MA</t>
        </is>
      </c>
      <c r="M54" s="25" t="inlineStr">
        <is>
          <t>DOE, NYSERDA, CEC, NSF</t>
        </is>
      </c>
      <c r="N54" s="25" t="inlineStr">
        <is>
          <t>Clean Tech Startups, Utilities, Research Consortia</t>
        </is>
      </c>
      <c r="O54" s="25" t="inlineStr">
        <is>
          <t>$500M+ federal and state grant applications supported</t>
        </is>
      </c>
      <c r="P54" s="25" t="inlineStr">
        <is>
          <t>Manual FOA decomposition and multi-database research consuming 20+ hours per proposal</t>
        </is>
      </c>
      <c r="Q54" s="25" t="inlineStr">
        <is>
          <t>10-second FOA shredder, 4-part PDF blueprints, and 5-stage capital continuum ledgers</t>
        </is>
      </c>
      <c r="R54" s="25" t="inlineStr">
        <is>
          <t>3-8 seats ($2,000 - $5,000/mo)</t>
        </is>
      </c>
      <c r="S54" s="26" t="n">
        <v>6000</v>
      </c>
      <c r="T54" s="23" t="inlineStr">
        <is>
          <t>Not Contacted</t>
        </is>
      </c>
      <c r="U54" s="27" t="inlineStr"/>
      <c r="V54" s="27" t="inlineStr"/>
      <c r="W54" s="27" t="inlineStr"/>
      <c r="X54" s="27" t="inlineStr"/>
      <c r="Y54" s="28" t="inlineStr">
        <is>
          <t>Hi Amy,
Noticed Prime Impact Fund / Azolla Ventures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4" s="25" t="inlineStr"/>
    </row>
    <row r="55">
      <c r="A55" s="21" t="n">
        <v>51</v>
      </c>
      <c r="B55" s="11" t="inlineStr">
        <is>
          <t>Colin Angevine</t>
        </is>
      </c>
      <c r="C55" s="12" t="inlineStr">
        <is>
          <t>Colin</t>
        </is>
      </c>
      <c r="D55" s="12" t="inlineStr">
        <is>
          <t>Director, Non-Dilutive Capital</t>
        </is>
      </c>
      <c r="E55" s="12" t="inlineStr">
        <is>
          <t>Tier 2: Practice Leader / Director (Budget Approver)</t>
        </is>
      </c>
      <c r="F55" s="11" t="inlineStr">
        <is>
          <t>Greentown Labs</t>
        </is>
      </c>
      <c r="G55" s="12" t="inlineStr">
        <is>
          <t>https://energyadvisory.com</t>
        </is>
      </c>
      <c r="H55" s="12" t="inlineStr">
        <is>
          <t>Clean Tech &amp; Energy Advisory</t>
        </is>
      </c>
      <c r="I55" s="12" t="inlineStr">
        <is>
          <t>20-100</t>
        </is>
      </c>
      <c r="J55" s="12" t="inlineStr">
        <is>
          <t>cangevine@greentownlabs.com</t>
        </is>
      </c>
      <c r="K55" s="12" t="inlineStr">
        <is>
          <t>(617) 440-9700</t>
        </is>
      </c>
      <c r="L55" s="12" t="inlineStr">
        <is>
          <t>Somerville, MA</t>
        </is>
      </c>
      <c r="M55" s="12" t="inlineStr">
        <is>
          <t>DOE, NYSERDA, CEC, NSF</t>
        </is>
      </c>
      <c r="N55" s="12" t="inlineStr">
        <is>
          <t>Clean Tech Startups, Utilities, Research Consortia</t>
        </is>
      </c>
      <c r="O55" s="12" t="inlineStr">
        <is>
          <t>$500M+ federal and state grant applications supported</t>
        </is>
      </c>
      <c r="P55" s="12" t="inlineStr">
        <is>
          <t>Manual FOA decomposition and multi-database research consuming 20+ hours per proposal</t>
        </is>
      </c>
      <c r="Q55" s="12" t="inlineStr">
        <is>
          <t>10-second FOA shredder, 4-part PDF blueprints, and 5-stage capital continuum ledgers</t>
        </is>
      </c>
      <c r="R55" s="12" t="inlineStr">
        <is>
          <t>3-8 seats ($2,000 - $5,000/mo)</t>
        </is>
      </c>
      <c r="S55" s="15" t="n">
        <v>6000</v>
      </c>
      <c r="T55" s="21" t="inlineStr">
        <is>
          <t>Not Contacted</t>
        </is>
      </c>
      <c r="U55" s="13" t="inlineStr"/>
      <c r="V55" s="13" t="inlineStr"/>
      <c r="W55" s="13" t="inlineStr"/>
      <c r="X55" s="13" t="inlineStr"/>
      <c r="Y55" s="22" t="inlineStr">
        <is>
          <t>Hi Colin,
Noticed Greentown Labs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5" s="12" t="inlineStr"/>
    </row>
    <row r="56">
      <c r="A56" s="23" t="n">
        <v>52</v>
      </c>
      <c r="B56" s="24" t="inlineStr">
        <is>
          <t>Jason Hanna</t>
        </is>
      </c>
      <c r="C56" s="25" t="inlineStr">
        <is>
          <t>Jason</t>
        </is>
      </c>
      <c r="D56" s="25" t="inlineStr">
        <is>
          <t>Entrepreneur in Residence, Grants</t>
        </is>
      </c>
      <c r="E56" s="25" t="inlineStr">
        <is>
          <t>Tier 3: Senior Strategist / Proposal Lead (Power User)</t>
        </is>
      </c>
      <c r="F56" s="24" t="inlineStr">
        <is>
          <t>Greentown Labs</t>
        </is>
      </c>
      <c r="G56" s="25" t="inlineStr">
        <is>
          <t>https://energyadvisory.com</t>
        </is>
      </c>
      <c r="H56" s="25" t="inlineStr">
        <is>
          <t>Clean Tech &amp; Energy Advisory</t>
        </is>
      </c>
      <c r="I56" s="25" t="inlineStr">
        <is>
          <t>20-100</t>
        </is>
      </c>
      <c r="J56" s="25" t="inlineStr">
        <is>
          <t>jhanna@greentownlabs.com</t>
        </is>
      </c>
      <c r="K56" s="25" t="inlineStr">
        <is>
          <t>(617) 440-9700</t>
        </is>
      </c>
      <c r="L56" s="25" t="inlineStr">
        <is>
          <t>Somerville, MA</t>
        </is>
      </c>
      <c r="M56" s="25" t="inlineStr">
        <is>
          <t>DOE, NYSERDA, CEC, NSF</t>
        </is>
      </c>
      <c r="N56" s="25" t="inlineStr">
        <is>
          <t>Clean Tech Startups, Utilities, Research Consortia</t>
        </is>
      </c>
      <c r="O56" s="25" t="inlineStr">
        <is>
          <t>$500M+ federal and state grant applications supported</t>
        </is>
      </c>
      <c r="P56" s="25" t="inlineStr">
        <is>
          <t>Manual FOA decomposition and multi-database research consuming 20+ hours per proposal</t>
        </is>
      </c>
      <c r="Q56" s="25" t="inlineStr">
        <is>
          <t>10-second FOA shredder, 4-part PDF blueprints, and 5-stage capital continuum ledgers</t>
        </is>
      </c>
      <c r="R56" s="25" t="inlineStr">
        <is>
          <t>3-8 seats ($2,000 - $5,000/mo)</t>
        </is>
      </c>
      <c r="S56" s="26" t="n">
        <v>6000</v>
      </c>
      <c r="T56" s="23" t="inlineStr">
        <is>
          <t>Not Contacted</t>
        </is>
      </c>
      <c r="U56" s="27" t="inlineStr"/>
      <c r="V56" s="27" t="inlineStr"/>
      <c r="W56" s="27" t="inlineStr"/>
      <c r="X56" s="27" t="inlineStr"/>
      <c r="Y56" s="28" t="inlineStr">
        <is>
          <t>Hi Jason,
Noticed Greentown Labs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6" s="25" t="inlineStr"/>
    </row>
    <row r="57">
      <c r="A57" s="21" t="n">
        <v>53</v>
      </c>
      <c r="B57" s="11" t="inlineStr">
        <is>
          <t>Kevin D'Agostino</t>
        </is>
      </c>
      <c r="C57" s="12" t="inlineStr">
        <is>
          <t>Kevin</t>
        </is>
      </c>
      <c r="D57" s="12" t="inlineStr">
        <is>
          <t>Head of Government Funding Practice</t>
        </is>
      </c>
      <c r="E57" s="12" t="inlineStr">
        <is>
          <t>Tier 2: Practice Leader / Director (Budget Approver)</t>
        </is>
      </c>
      <c r="F57" s="11" t="inlineStr">
        <is>
          <t>Momentum</t>
        </is>
      </c>
      <c r="G57" s="12" t="inlineStr">
        <is>
          <t>https://buildmomentum.io</t>
        </is>
      </c>
      <c r="H57" s="12" t="inlineStr">
        <is>
          <t>Dedicated Clean Tech Grant Writing &amp; Project Deployment</t>
        </is>
      </c>
      <c r="I57" s="12" t="inlineStr">
        <is>
          <t>40-80</t>
        </is>
      </c>
      <c r="J57" s="12" t="inlineStr">
        <is>
          <t>kevin@momentum.com</t>
        </is>
      </c>
      <c r="K57" s="12" t="inlineStr">
        <is>
          <t>(916) 459-4053</t>
        </is>
      </c>
      <c r="L57" s="12" t="inlineStr">
        <is>
          <t>Sacramento, CA</t>
        </is>
      </c>
      <c r="M57" s="12" t="inlineStr">
        <is>
          <t>CEC EPIC, CARB, DOE (OCED, EERE), BAAQMD, Port Authorities</t>
        </is>
      </c>
      <c r="N57" s="12" t="inlineStr">
        <is>
          <t>Zero-Emission Heavy Duty, EV Fleet Charging, Clean Ports, Microgrids</t>
        </is>
      </c>
      <c r="O57" s="12" t="inlineStr">
        <is>
          <t>$1B+ in clean tech grants won for clients</t>
        </is>
      </c>
      <c r="P57" s="12" t="inlineStr">
        <is>
          <t>Writing dozens of complex multi-partner CEC and DOE grant applications every quarter under tight filing deadlines</t>
        </is>
      </c>
      <c r="Q57" s="12" t="inlineStr">
        <is>
          <t>FOA shredding in 10 seconds, automated submission volume checklists, and historical winner benchmarking</t>
        </is>
      </c>
      <c r="R57" s="12" t="inlineStr">
        <is>
          <t>8-15 seats ($5,000 - $10,000/mo)</t>
        </is>
      </c>
      <c r="S57" s="15" t="n">
        <v>15000</v>
      </c>
      <c r="T57" s="21" t="inlineStr">
        <is>
          <t>Not Contacted</t>
        </is>
      </c>
      <c r="U57" s="13" t="inlineStr"/>
      <c r="V57" s="13" t="inlineStr"/>
      <c r="W57" s="13" t="inlineStr"/>
      <c r="X57" s="13" t="inlineStr"/>
      <c r="Y57" s="22" t="inlineStr">
        <is>
          <t>Hi Kevin,
Noticed Momentum is actively advising clean tech innovators on major federal and state funding rounds (CEC EPIC).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7" s="12" t="inlineStr"/>
    </row>
    <row r="58">
      <c r="A58" s="23" t="n">
        <v>54</v>
      </c>
      <c r="B58" s="24" t="inlineStr">
        <is>
          <t>Matt Bowers</t>
        </is>
      </c>
      <c r="C58" s="25" t="inlineStr">
        <is>
          <t>Matt</t>
        </is>
      </c>
      <c r="D58" s="25" t="inlineStr">
        <is>
          <t>Managing Director</t>
        </is>
      </c>
      <c r="E58" s="25" t="inlineStr">
        <is>
          <t>Tier 1: Senior Executive / Partner (Decision Maker)</t>
        </is>
      </c>
      <c r="F58" s="24" t="inlineStr">
        <is>
          <t>Momentum</t>
        </is>
      </c>
      <c r="G58" s="25" t="inlineStr">
        <is>
          <t>https://buildmomentum.io</t>
        </is>
      </c>
      <c r="H58" s="25" t="inlineStr">
        <is>
          <t>Dedicated Clean Tech Grant Writing &amp; Project Deployment</t>
        </is>
      </c>
      <c r="I58" s="25" t="inlineStr">
        <is>
          <t>40-80</t>
        </is>
      </c>
      <c r="J58" s="25" t="inlineStr">
        <is>
          <t>matt@momentum.com</t>
        </is>
      </c>
      <c r="K58" s="25" t="inlineStr">
        <is>
          <t>(916) 459-4053</t>
        </is>
      </c>
      <c r="L58" s="25" t="inlineStr">
        <is>
          <t>Sacramento, CA</t>
        </is>
      </c>
      <c r="M58" s="25" t="inlineStr">
        <is>
          <t>CEC EPIC, CARB, DOE (OCED, EERE), BAAQMD, Port Authorities</t>
        </is>
      </c>
      <c r="N58" s="25" t="inlineStr">
        <is>
          <t>Zero-Emission Heavy Duty, EV Fleet Charging, Clean Ports, Microgrids</t>
        </is>
      </c>
      <c r="O58" s="25" t="inlineStr">
        <is>
          <t>$1B+ in clean tech grants won for clients</t>
        </is>
      </c>
      <c r="P58" s="25" t="inlineStr">
        <is>
          <t>Writing dozens of complex multi-partner CEC and DOE grant applications every quarter under tight filing deadlines</t>
        </is>
      </c>
      <c r="Q58" s="25" t="inlineStr">
        <is>
          <t>FOA shredding in 10 seconds, automated submission volume checklists, and historical winner benchmarking</t>
        </is>
      </c>
      <c r="R58" s="25" t="inlineStr">
        <is>
          <t>8-15 seats ($5,000 - $10,000/mo)</t>
        </is>
      </c>
      <c r="S58" s="26" t="n">
        <v>15000</v>
      </c>
      <c r="T58" s="23" t="inlineStr">
        <is>
          <t>Not Contacted</t>
        </is>
      </c>
      <c r="U58" s="27" t="inlineStr"/>
      <c r="V58" s="27" t="inlineStr"/>
      <c r="W58" s="27" t="inlineStr"/>
      <c r="X58" s="27" t="inlineStr"/>
      <c r="Y58" s="28" t="inlineStr">
        <is>
          <t>Hi Matt,
Noticed Momentum is actively advising clean tech innovators on major federal and state funding rounds (CEC EPIC).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8" s="25" t="inlineStr"/>
    </row>
    <row r="59">
      <c r="A59" s="21" t="n">
        <v>55</v>
      </c>
      <c r="B59" s="11" t="inlineStr">
        <is>
          <t>Jonathan Liles</t>
        </is>
      </c>
      <c r="C59" s="12" t="inlineStr">
        <is>
          <t>Jonathan</t>
        </is>
      </c>
      <c r="D59" s="12" t="inlineStr">
        <is>
          <t>Senior Director, Proposal Strategy</t>
        </is>
      </c>
      <c r="E59" s="12" t="inlineStr">
        <is>
          <t>Tier 2: Practice Leader / Director (Budget Approver)</t>
        </is>
      </c>
      <c r="F59" s="11" t="inlineStr">
        <is>
          <t>Momentum</t>
        </is>
      </c>
      <c r="G59" s="12" t="inlineStr">
        <is>
          <t>https://buildmomentum.io</t>
        </is>
      </c>
      <c r="H59" s="12" t="inlineStr">
        <is>
          <t>Dedicated Clean Tech Grant Writing &amp; Project Deployment</t>
        </is>
      </c>
      <c r="I59" s="12" t="inlineStr">
        <is>
          <t>40-80</t>
        </is>
      </c>
      <c r="J59" s="12" t="inlineStr">
        <is>
          <t>jliles@momentum.com</t>
        </is>
      </c>
      <c r="K59" s="12" t="inlineStr">
        <is>
          <t>(916) 459-4053</t>
        </is>
      </c>
      <c r="L59" s="12" t="inlineStr">
        <is>
          <t>Sacramento, CA</t>
        </is>
      </c>
      <c r="M59" s="12" t="inlineStr">
        <is>
          <t>CEC EPIC, CARB, DOE (OCED, EERE), BAAQMD, Port Authorities</t>
        </is>
      </c>
      <c r="N59" s="12" t="inlineStr">
        <is>
          <t>Zero-Emission Heavy Duty, EV Fleet Charging, Clean Ports, Microgrids</t>
        </is>
      </c>
      <c r="O59" s="12" t="inlineStr">
        <is>
          <t>$1B+ in clean tech grants won for clients</t>
        </is>
      </c>
      <c r="P59" s="12" t="inlineStr">
        <is>
          <t>Writing dozens of complex multi-partner CEC and DOE grant applications every quarter under tight filing deadlines</t>
        </is>
      </c>
      <c r="Q59" s="12" t="inlineStr">
        <is>
          <t>FOA shredding in 10 seconds, automated submission volume checklists, and historical winner benchmarking</t>
        </is>
      </c>
      <c r="R59" s="12" t="inlineStr">
        <is>
          <t>8-15 seats ($5,000 - $10,000/mo)</t>
        </is>
      </c>
      <c r="S59" s="15" t="n">
        <v>15000</v>
      </c>
      <c r="T59" s="21" t="inlineStr">
        <is>
          <t>Not Contacted</t>
        </is>
      </c>
      <c r="U59" s="13" t="inlineStr"/>
      <c r="V59" s="13" t="inlineStr"/>
      <c r="W59" s="13" t="inlineStr"/>
      <c r="X59" s="13" t="inlineStr"/>
      <c r="Y59" s="22" t="inlineStr">
        <is>
          <t>Hi Jonathan,
Noticed Momentum is actively advising clean tech innovators on major federal and state funding rounds (CEC EPIC).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9" s="12" t="inlineStr"/>
    </row>
    <row r="60">
      <c r="A60" s="23" t="n">
        <v>56</v>
      </c>
      <c r="B60" s="24" t="inlineStr">
        <is>
          <t>Eliad Shmuel</t>
        </is>
      </c>
      <c r="C60" s="25" t="inlineStr">
        <is>
          <t>Eliad</t>
        </is>
      </c>
      <c r="D60" s="25" t="inlineStr">
        <is>
          <t>VP Client Operations</t>
        </is>
      </c>
      <c r="E60" s="25" t="inlineStr">
        <is>
          <t>Tier 2: Practice Leader / Director (Budget Approver)</t>
        </is>
      </c>
      <c r="F60" s="24" t="inlineStr">
        <is>
          <t>Eagle Point Funding</t>
        </is>
      </c>
      <c r="G60" s="25" t="inlineStr">
        <is>
          <t>https://eaglepointfunding.com</t>
        </is>
      </c>
      <c r="H60" s="25" t="inlineStr">
        <is>
          <t>Deep Tech &amp; Non-Dilutive Funding Consultancy</t>
        </is>
      </c>
      <c r="I60" s="25" t="inlineStr">
        <is>
          <t>50-100</t>
        </is>
      </c>
      <c r="J60" s="25" t="inlineStr">
        <is>
          <t>eliad@eaglepointfunding.com</t>
        </is>
      </c>
      <c r="K60" s="25" t="inlineStr">
        <is>
          <t>(646) 787-8260</t>
        </is>
      </c>
      <c r="L60" s="25" t="inlineStr">
        <is>
          <t>New York, NY</t>
        </is>
      </c>
      <c r="M60" s="25" t="inlineStr">
        <is>
          <t>DOD (DARPA, AFWERX), DOE (ARPA-E, EERE), NSF, NASA, NIH</t>
        </is>
      </c>
      <c r="N60" s="25" t="inlineStr">
        <is>
          <t>Seed to Series B Hardware, Energy Storage, Advanced Materials, AI/Grid</t>
        </is>
      </c>
      <c r="O60" s="25" t="inlineStr">
        <is>
          <t>$2.5B+ secured across 4,000+ proposals</t>
        </is>
      </c>
      <c r="P60" s="25" t="inlineStr">
        <is>
          <t>High proposal throughput with fast turnarounds required across diverse federal agencies</t>
        </is>
      </c>
      <c r="Q60" s="25" t="inlineStr">
        <is>
          <t>Instant FOA parsing, agency scoring rubrics, and automated fatal flaw checks</t>
        </is>
      </c>
      <c r="R60" s="25" t="inlineStr">
        <is>
          <t>10-20 seats ($6,000 - $12,000/mo)</t>
        </is>
      </c>
      <c r="S60" s="26" t="n">
        <v>2000</v>
      </c>
      <c r="T60" s="23" t="inlineStr">
        <is>
          <t>Not Contacted</t>
        </is>
      </c>
      <c r="U60" s="27" t="inlineStr"/>
      <c r="V60" s="27" t="inlineStr"/>
      <c r="W60" s="27" t="inlineStr"/>
      <c r="X60" s="27" t="inlineStr"/>
      <c r="Y60" s="28" t="inlineStr">
        <is>
          <t>Hi Eliad,
Noticed Eagle Point Funding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0" s="25" t="inlineStr"/>
    </row>
    <row r="61">
      <c r="A61" s="21" t="n">
        <v>57</v>
      </c>
      <c r="B61" s="11" t="inlineStr">
        <is>
          <t>Lior Zaidner</t>
        </is>
      </c>
      <c r="C61" s="12" t="inlineStr">
        <is>
          <t>Lior</t>
        </is>
      </c>
      <c r="D61" s="12" t="inlineStr">
        <is>
          <t>Director of Business Development</t>
        </is>
      </c>
      <c r="E61" s="12" t="inlineStr">
        <is>
          <t>Tier 2: Practice Leader / Director (Budget Approver)</t>
        </is>
      </c>
      <c r="F61" s="11" t="inlineStr">
        <is>
          <t>Eagle Point Funding</t>
        </is>
      </c>
      <c r="G61" s="12" t="inlineStr">
        <is>
          <t>https://eaglepointfunding.com</t>
        </is>
      </c>
      <c r="H61" s="12" t="inlineStr">
        <is>
          <t>Deep Tech &amp; Non-Dilutive Funding Consultancy</t>
        </is>
      </c>
      <c r="I61" s="12" t="inlineStr">
        <is>
          <t>50-100</t>
        </is>
      </c>
      <c r="J61" s="12" t="inlineStr">
        <is>
          <t>lior@eaglepointfunding.com</t>
        </is>
      </c>
      <c r="K61" s="12" t="inlineStr">
        <is>
          <t>(646) 787-8260</t>
        </is>
      </c>
      <c r="L61" s="12" t="inlineStr">
        <is>
          <t>New York, NY</t>
        </is>
      </c>
      <c r="M61" s="12" t="inlineStr">
        <is>
          <t>DOD (DARPA, AFWERX), DOE (ARPA-E, EERE), NSF, NASA, NIH</t>
        </is>
      </c>
      <c r="N61" s="12" t="inlineStr">
        <is>
          <t>Seed to Series B Hardware, Energy Storage, Advanced Materials, AI/Grid</t>
        </is>
      </c>
      <c r="O61" s="12" t="inlineStr">
        <is>
          <t>$2.5B+ secured across 4,000+ proposals</t>
        </is>
      </c>
      <c r="P61" s="12" t="inlineStr">
        <is>
          <t>High proposal throughput with fast turnarounds required across diverse federal agencies</t>
        </is>
      </c>
      <c r="Q61" s="12" t="inlineStr">
        <is>
          <t>Instant FOA parsing, agency scoring rubrics, and automated fatal flaw checks</t>
        </is>
      </c>
      <c r="R61" s="12" t="inlineStr">
        <is>
          <t>10-20 seats ($6,000 - $12,000/mo)</t>
        </is>
      </c>
      <c r="S61" s="15" t="n">
        <v>2000</v>
      </c>
      <c r="T61" s="21" t="inlineStr">
        <is>
          <t>Not Contacted</t>
        </is>
      </c>
      <c r="U61" s="13" t="inlineStr"/>
      <c r="V61" s="13" t="inlineStr"/>
      <c r="W61" s="13" t="inlineStr"/>
      <c r="X61" s="13" t="inlineStr"/>
      <c r="Y61" s="22" t="inlineStr">
        <is>
          <t>Hi Lior,
Noticed Eagle Point Funding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1" s="12" t="inlineStr"/>
    </row>
    <row r="62">
      <c r="A62" s="23" t="n">
        <v>58</v>
      </c>
      <c r="B62" s="24" t="inlineStr">
        <is>
          <t>Michael Kogan</t>
        </is>
      </c>
      <c r="C62" s="25" t="inlineStr">
        <is>
          <t>Michael</t>
        </is>
      </c>
      <c r="D62" s="25" t="inlineStr">
        <is>
          <t>Managing Partner</t>
        </is>
      </c>
      <c r="E62" s="25" t="inlineStr">
        <is>
          <t>Tier 1: Senior Executive / Partner (Decision Maker)</t>
        </is>
      </c>
      <c r="F62" s="24" t="inlineStr">
        <is>
          <t>Eagle Point Funding</t>
        </is>
      </c>
      <c r="G62" s="25" t="inlineStr">
        <is>
          <t>https://eaglepointfunding.com</t>
        </is>
      </c>
      <c r="H62" s="25" t="inlineStr">
        <is>
          <t>Deep Tech &amp; Non-Dilutive Funding Consultancy</t>
        </is>
      </c>
      <c r="I62" s="25" t="inlineStr">
        <is>
          <t>50-100</t>
        </is>
      </c>
      <c r="J62" s="25" t="inlineStr">
        <is>
          <t>michael@eaglepointfunding.com</t>
        </is>
      </c>
      <c r="K62" s="25" t="inlineStr">
        <is>
          <t>(646) 787-8260</t>
        </is>
      </c>
      <c r="L62" s="25" t="inlineStr">
        <is>
          <t>New York, NY</t>
        </is>
      </c>
      <c r="M62" s="25" t="inlineStr">
        <is>
          <t>DOD (DARPA, AFWERX), DOE (ARPA-E, EERE), NSF, NASA, NIH</t>
        </is>
      </c>
      <c r="N62" s="25" t="inlineStr">
        <is>
          <t>Seed to Series B Hardware, Energy Storage, Advanced Materials, AI/Grid</t>
        </is>
      </c>
      <c r="O62" s="25" t="inlineStr">
        <is>
          <t>$2.5B+ secured across 4,000+ proposals</t>
        </is>
      </c>
      <c r="P62" s="25" t="inlineStr">
        <is>
          <t>High proposal throughput with fast turnarounds required across diverse federal agencies</t>
        </is>
      </c>
      <c r="Q62" s="25" t="inlineStr">
        <is>
          <t>Instant FOA parsing, agency scoring rubrics, and automated fatal flaw checks</t>
        </is>
      </c>
      <c r="R62" s="25" t="inlineStr">
        <is>
          <t>10-20 seats ($6,000 - $12,000/mo)</t>
        </is>
      </c>
      <c r="S62" s="26" t="n">
        <v>2000</v>
      </c>
      <c r="T62" s="23" t="inlineStr">
        <is>
          <t>Not Contacted</t>
        </is>
      </c>
      <c r="U62" s="27" t="inlineStr"/>
      <c r="V62" s="27" t="inlineStr"/>
      <c r="W62" s="27" t="inlineStr"/>
      <c r="X62" s="27" t="inlineStr"/>
      <c r="Y62" s="28" t="inlineStr">
        <is>
          <t>Hi Michael,
Noticed Eagle Point Funding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2" s="25" t="inlineStr"/>
    </row>
    <row r="63">
      <c r="A63" s="21" t="n">
        <v>59</v>
      </c>
      <c r="B63" s="11" t="inlineStr">
        <is>
          <t>Andrea Johanson</t>
        </is>
      </c>
      <c r="C63" s="12" t="inlineStr">
        <is>
          <t>Andrea</t>
        </is>
      </c>
      <c r="D63" s="12" t="inlineStr">
        <is>
          <t>Senior Principal Consultant</t>
        </is>
      </c>
      <c r="E63" s="12" t="inlineStr">
        <is>
          <t>Tier 1: Senior Executive / Partner (Decision Maker)</t>
        </is>
      </c>
      <c r="F63" s="11" t="inlineStr">
        <is>
          <t>BBC Entrepreneurial Training &amp; Consulting (BBCetc)</t>
        </is>
      </c>
      <c r="G63" s="12" t="inlineStr">
        <is>
          <t>https://energyadvisory.com</t>
        </is>
      </c>
      <c r="H63" s="12" t="inlineStr">
        <is>
          <t>Clean Tech &amp; Energy Advisory</t>
        </is>
      </c>
      <c r="I63" s="12" t="inlineStr">
        <is>
          <t>20-100</t>
        </is>
      </c>
      <c r="J63" s="12" t="inlineStr">
        <is>
          <t>andrea@bbcetc.com</t>
        </is>
      </c>
      <c r="K63" s="12" t="inlineStr">
        <is>
          <t>(734) 930-4800</t>
        </is>
      </c>
      <c r="L63" s="12" t="inlineStr">
        <is>
          <t>Ann Arbor, MI</t>
        </is>
      </c>
      <c r="M63" s="12" t="inlineStr">
        <is>
          <t>DOE, NYSERDA, CEC, NSF</t>
        </is>
      </c>
      <c r="N63" s="12" t="inlineStr">
        <is>
          <t>Clean Tech Startups, Utilities, Research Consortia</t>
        </is>
      </c>
      <c r="O63" s="12" t="inlineStr">
        <is>
          <t>$500M+ federal and state grant applications supported</t>
        </is>
      </c>
      <c r="P63" s="12" t="inlineStr">
        <is>
          <t>Manual FOA decomposition and multi-database research consuming 20+ hours per proposal</t>
        </is>
      </c>
      <c r="Q63" s="12" t="inlineStr">
        <is>
          <t>10-second FOA shredder, 4-part PDF blueprints, and 5-stage capital continuum ledgers</t>
        </is>
      </c>
      <c r="R63" s="12" t="inlineStr">
        <is>
          <t>3-8 seats ($2,000 - $5,000/mo)</t>
        </is>
      </c>
      <c r="S63" s="15" t="n">
        <v>6000</v>
      </c>
      <c r="T63" s="21" t="inlineStr">
        <is>
          <t>Not Contacted</t>
        </is>
      </c>
      <c r="U63" s="13" t="inlineStr"/>
      <c r="V63" s="13" t="inlineStr"/>
      <c r="W63" s="13" t="inlineStr"/>
      <c r="X63" s="13" t="inlineStr"/>
      <c r="Y63" s="22" t="inlineStr">
        <is>
          <t>Hi Andrea,
Noticed BBC Entrepreneurial Training &amp; Consulting (BBCetc)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3" s="12" t="inlineStr"/>
    </row>
    <row r="64">
      <c r="A64" s="23" t="n">
        <v>60</v>
      </c>
      <c r="B64" s="24" t="inlineStr">
        <is>
          <t>Shannon Bass</t>
        </is>
      </c>
      <c r="C64" s="25" t="inlineStr">
        <is>
          <t>Shannon</t>
        </is>
      </c>
      <c r="D64" s="25" t="inlineStr">
        <is>
          <t>Senior Principal Consultant</t>
        </is>
      </c>
      <c r="E64" s="25" t="inlineStr">
        <is>
          <t>Tier 1: Senior Executive / Partner (Decision Maker)</t>
        </is>
      </c>
      <c r="F64" s="24" t="inlineStr">
        <is>
          <t>BBCetc</t>
        </is>
      </c>
      <c r="G64" s="25" t="inlineStr">
        <is>
          <t>https://energyadvisory.com</t>
        </is>
      </c>
      <c r="H64" s="25" t="inlineStr">
        <is>
          <t>Clean Tech &amp; Energy Advisory</t>
        </is>
      </c>
      <c r="I64" s="25" t="inlineStr">
        <is>
          <t>20-100</t>
        </is>
      </c>
      <c r="J64" s="25" t="inlineStr">
        <is>
          <t>shannon@bbcetc.com</t>
        </is>
      </c>
      <c r="K64" s="25" t="inlineStr">
        <is>
          <t>(734) 930-4800</t>
        </is>
      </c>
      <c r="L64" s="25" t="inlineStr">
        <is>
          <t>Ann Arbor, MI</t>
        </is>
      </c>
      <c r="M64" s="25" t="inlineStr">
        <is>
          <t>DOE, NYSERDA, CEC, NSF</t>
        </is>
      </c>
      <c r="N64" s="25" t="inlineStr">
        <is>
          <t>Clean Tech Startups, Utilities, Research Consortia</t>
        </is>
      </c>
      <c r="O64" s="25" t="inlineStr">
        <is>
          <t>$500M+ federal and state grant applications supported</t>
        </is>
      </c>
      <c r="P64" s="25" t="inlineStr">
        <is>
          <t>Manual FOA decomposition and multi-database research consuming 20+ hours per proposal</t>
        </is>
      </c>
      <c r="Q64" s="25" t="inlineStr">
        <is>
          <t>10-second FOA shredder, 4-part PDF blueprints, and 5-stage capital continuum ledgers</t>
        </is>
      </c>
      <c r="R64" s="25" t="inlineStr">
        <is>
          <t>3-8 seats ($2,000 - $5,000/mo)</t>
        </is>
      </c>
      <c r="S64" s="26" t="n">
        <v>6000</v>
      </c>
      <c r="T64" s="23" t="inlineStr">
        <is>
          <t>Not Contacted</t>
        </is>
      </c>
      <c r="U64" s="27" t="inlineStr"/>
      <c r="V64" s="27" t="inlineStr"/>
      <c r="W64" s="27" t="inlineStr"/>
      <c r="X64" s="27" t="inlineStr"/>
      <c r="Y64" s="28" t="inlineStr">
        <is>
          <t>Hi Shannon,
Noticed BBCetc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4" s="25" t="inlineStr"/>
    </row>
    <row r="65">
      <c r="A65" s="21" t="n">
        <v>61</v>
      </c>
      <c r="B65" s="11" t="inlineStr">
        <is>
          <t>Kris Bergman</t>
        </is>
      </c>
      <c r="C65" s="12" t="inlineStr">
        <is>
          <t>Kris</t>
        </is>
      </c>
      <c r="D65" s="12" t="inlineStr">
        <is>
          <t>Managing Consultant</t>
        </is>
      </c>
      <c r="E65" s="12" t="inlineStr">
        <is>
          <t>Tier 3: Senior Strategist / Proposal Lead (Power User)</t>
        </is>
      </c>
      <c r="F65" s="11" t="inlineStr">
        <is>
          <t>BBCetc</t>
        </is>
      </c>
      <c r="G65" s="12" t="inlineStr">
        <is>
          <t>https://energyadvisory.com</t>
        </is>
      </c>
      <c r="H65" s="12" t="inlineStr">
        <is>
          <t>Clean Tech &amp; Energy Advisory</t>
        </is>
      </c>
      <c r="I65" s="12" t="inlineStr">
        <is>
          <t>20-100</t>
        </is>
      </c>
      <c r="J65" s="12" t="inlineStr">
        <is>
          <t>kris@bbcetc.com</t>
        </is>
      </c>
      <c r="K65" s="12" t="inlineStr">
        <is>
          <t>(734) 930-4800</t>
        </is>
      </c>
      <c r="L65" s="12" t="inlineStr">
        <is>
          <t>Ann Arbor, MI</t>
        </is>
      </c>
      <c r="M65" s="12" t="inlineStr">
        <is>
          <t>DOE, NYSERDA, CEC, NSF</t>
        </is>
      </c>
      <c r="N65" s="12" t="inlineStr">
        <is>
          <t>Clean Tech Startups, Utilities, Research Consortia</t>
        </is>
      </c>
      <c r="O65" s="12" t="inlineStr">
        <is>
          <t>$500M+ federal and state grant applications supported</t>
        </is>
      </c>
      <c r="P65" s="12" t="inlineStr">
        <is>
          <t>Manual FOA decomposition and multi-database research consuming 20+ hours per proposal</t>
        </is>
      </c>
      <c r="Q65" s="12" t="inlineStr">
        <is>
          <t>10-second FOA shredder, 4-part PDF blueprints, and 5-stage capital continuum ledgers</t>
        </is>
      </c>
      <c r="R65" s="12" t="inlineStr">
        <is>
          <t>3-8 seats ($2,000 - $5,000/mo)</t>
        </is>
      </c>
      <c r="S65" s="15" t="n">
        <v>6000</v>
      </c>
      <c r="T65" s="21" t="inlineStr">
        <is>
          <t>Not Contacted</t>
        </is>
      </c>
      <c r="U65" s="13" t="inlineStr"/>
      <c r="V65" s="13" t="inlineStr"/>
      <c r="W65" s="13" t="inlineStr"/>
      <c r="X65" s="13" t="inlineStr"/>
      <c r="Y65" s="22" t="inlineStr">
        <is>
          <t>Hi Kris,
Noticed BBCetc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5" s="12" t="inlineStr"/>
    </row>
    <row r="66">
      <c r="A66" s="23" t="n">
        <v>62</v>
      </c>
      <c r="B66" s="24" t="inlineStr">
        <is>
          <t>Liz Powell</t>
        </is>
      </c>
      <c r="C66" s="25" t="inlineStr">
        <is>
          <t>Liz</t>
        </is>
      </c>
      <c r="D66" s="25" t="inlineStr">
        <is>
          <t>Founder &amp; President</t>
        </is>
      </c>
      <c r="E66" s="25" t="inlineStr">
        <is>
          <t>Tier 1: Senior Executive / Partner (Decision Maker)</t>
        </is>
      </c>
      <c r="F66" s="24" t="inlineStr">
        <is>
          <t>G2G Consulting</t>
        </is>
      </c>
      <c r="G66" s="25" t="inlineStr">
        <is>
          <t>https://energyadvisory.com</t>
        </is>
      </c>
      <c r="H66" s="25" t="inlineStr">
        <is>
          <t>Clean Tech &amp; Energy Advisory</t>
        </is>
      </c>
      <c r="I66" s="25" t="inlineStr">
        <is>
          <t>20-100</t>
        </is>
      </c>
      <c r="J66" s="25" t="inlineStr">
        <is>
          <t>lpowell@g2gconsulting.com</t>
        </is>
      </c>
      <c r="K66" s="25" t="inlineStr">
        <is>
          <t>(202) 445-5655</t>
        </is>
      </c>
      <c r="L66" s="25" t="inlineStr">
        <is>
          <t>Washington, DC</t>
        </is>
      </c>
      <c r="M66" s="25" t="inlineStr">
        <is>
          <t>DOE, NYSERDA, CEC, NSF</t>
        </is>
      </c>
      <c r="N66" s="25" t="inlineStr">
        <is>
          <t>Clean Tech Startups, Utilities, Research Consortia</t>
        </is>
      </c>
      <c r="O66" s="25" t="inlineStr">
        <is>
          <t>$500M+ federal and state grant applications supported</t>
        </is>
      </c>
      <c r="P66" s="25" t="inlineStr">
        <is>
          <t>Manual FOA decomposition and multi-database research consuming 20+ hours per proposal</t>
        </is>
      </c>
      <c r="Q66" s="25" t="inlineStr">
        <is>
          <t>10-second FOA shredder, 4-part PDF blueprints, and 5-stage capital continuum ledgers</t>
        </is>
      </c>
      <c r="R66" s="25" t="inlineStr">
        <is>
          <t>3-8 seats ($2,000 - $5,000/mo)</t>
        </is>
      </c>
      <c r="S66" s="26" t="n">
        <v>6000</v>
      </c>
      <c r="T66" s="23" t="inlineStr">
        <is>
          <t>Not Contacted</t>
        </is>
      </c>
      <c r="U66" s="27" t="inlineStr"/>
      <c r="V66" s="27" t="inlineStr"/>
      <c r="W66" s="27" t="inlineStr"/>
      <c r="X66" s="27" t="inlineStr"/>
      <c r="Y66" s="28" t="inlineStr">
        <is>
          <t>Hi Liz,
Noticed G2G Consulting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6" s="25" t="inlineStr"/>
    </row>
    <row r="67">
      <c r="A67" s="21" t="n">
        <v>63</v>
      </c>
      <c r="B67" s="11" t="inlineStr">
        <is>
          <t>Greg Belshe</t>
        </is>
      </c>
      <c r="C67" s="12" t="inlineStr">
        <is>
          <t>Greg</t>
        </is>
      </c>
      <c r="D67" s="12" t="inlineStr">
        <is>
          <t>Vice President, Funding Strategy</t>
        </is>
      </c>
      <c r="E67" s="12" t="inlineStr">
        <is>
          <t>Tier 1: Senior Executive / Partner (Decision Maker)</t>
        </is>
      </c>
      <c r="F67" s="11" t="inlineStr">
        <is>
          <t>G2G Consulting</t>
        </is>
      </c>
      <c r="G67" s="12" t="inlineStr">
        <is>
          <t>https://energyadvisory.com</t>
        </is>
      </c>
      <c r="H67" s="12" t="inlineStr">
        <is>
          <t>Clean Tech &amp; Energy Advisory</t>
        </is>
      </c>
      <c r="I67" s="12" t="inlineStr">
        <is>
          <t>20-100</t>
        </is>
      </c>
      <c r="J67" s="12" t="inlineStr">
        <is>
          <t>gbelshe@g2gconsulting.com</t>
        </is>
      </c>
      <c r="K67" s="12" t="inlineStr">
        <is>
          <t>(202) 445-5655</t>
        </is>
      </c>
      <c r="L67" s="12" t="inlineStr">
        <is>
          <t>Washington, DC</t>
        </is>
      </c>
      <c r="M67" s="12" t="inlineStr">
        <is>
          <t>DOE, NYSERDA, CEC, NSF</t>
        </is>
      </c>
      <c r="N67" s="12" t="inlineStr">
        <is>
          <t>Clean Tech Startups, Utilities, Research Consortia</t>
        </is>
      </c>
      <c r="O67" s="12" t="inlineStr">
        <is>
          <t>$500M+ federal and state grant applications supported</t>
        </is>
      </c>
      <c r="P67" s="12" t="inlineStr">
        <is>
          <t>Manual FOA decomposition and multi-database research consuming 20+ hours per proposal</t>
        </is>
      </c>
      <c r="Q67" s="12" t="inlineStr">
        <is>
          <t>10-second FOA shredder, 4-part PDF blueprints, and 5-stage capital continuum ledgers</t>
        </is>
      </c>
      <c r="R67" s="12" t="inlineStr">
        <is>
          <t>3-8 seats ($2,000 - $5,000/mo)</t>
        </is>
      </c>
      <c r="S67" s="15" t="n">
        <v>6000</v>
      </c>
      <c r="T67" s="21" t="inlineStr">
        <is>
          <t>Not Contacted</t>
        </is>
      </c>
      <c r="U67" s="13" t="inlineStr"/>
      <c r="V67" s="13" t="inlineStr"/>
      <c r="W67" s="13" t="inlineStr"/>
      <c r="X67" s="13" t="inlineStr"/>
      <c r="Y67" s="22" t="inlineStr">
        <is>
          <t>Hi Greg,
Noticed G2G Consulting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7" s="12" t="inlineStr"/>
    </row>
    <row r="68">
      <c r="A68" s="23" t="n">
        <v>64</v>
      </c>
      <c r="B68" s="24" t="inlineStr">
        <is>
          <t>Eva Garland</t>
        </is>
      </c>
      <c r="C68" s="25" t="inlineStr">
        <is>
          <t>Eva</t>
        </is>
      </c>
      <c r="D68" s="25" t="inlineStr">
        <is>
          <t>CEO &amp; Founder</t>
        </is>
      </c>
      <c r="E68" s="25" t="inlineStr">
        <is>
          <t>Tier 1: Senior Executive / Partner (Decision Maker)</t>
        </is>
      </c>
      <c r="F68" s="24" t="inlineStr">
        <is>
          <t>Eva Garland Consulting LLC</t>
        </is>
      </c>
      <c r="G68" s="25" t="inlineStr">
        <is>
          <t>https://energyadvisory.com</t>
        </is>
      </c>
      <c r="H68" s="25" t="inlineStr">
        <is>
          <t>Clean Tech &amp; Energy Advisory</t>
        </is>
      </c>
      <c r="I68" s="25" t="inlineStr">
        <is>
          <t>20-100</t>
        </is>
      </c>
      <c r="J68" s="25" t="inlineStr">
        <is>
          <t>eva@evagarland.com</t>
        </is>
      </c>
      <c r="K68" s="25" t="inlineStr">
        <is>
          <t>(919) 825-1440</t>
        </is>
      </c>
      <c r="L68" s="25" t="inlineStr">
        <is>
          <t>Raleigh, NC</t>
        </is>
      </c>
      <c r="M68" s="25" t="inlineStr">
        <is>
          <t>DOE, NYSERDA, CEC, NSF</t>
        </is>
      </c>
      <c r="N68" s="25" t="inlineStr">
        <is>
          <t>Clean Tech Startups, Utilities, Research Consortia</t>
        </is>
      </c>
      <c r="O68" s="25" t="inlineStr">
        <is>
          <t>$500M+ federal and state grant applications supported</t>
        </is>
      </c>
      <c r="P68" s="25" t="inlineStr">
        <is>
          <t>Manual FOA decomposition and multi-database research consuming 20+ hours per proposal</t>
        </is>
      </c>
      <c r="Q68" s="25" t="inlineStr">
        <is>
          <t>10-second FOA shredder, 4-part PDF blueprints, and 5-stage capital continuum ledgers</t>
        </is>
      </c>
      <c r="R68" s="25" t="inlineStr">
        <is>
          <t>3-8 seats ($2,000 - $5,000/mo)</t>
        </is>
      </c>
      <c r="S68" s="26" t="n">
        <v>6000</v>
      </c>
      <c r="T68" s="23" t="inlineStr">
        <is>
          <t>Not Contacted</t>
        </is>
      </c>
      <c r="U68" s="27" t="inlineStr"/>
      <c r="V68" s="27" t="inlineStr"/>
      <c r="W68" s="27" t="inlineStr"/>
      <c r="X68" s="27" t="inlineStr"/>
      <c r="Y68" s="28" t="inlineStr">
        <is>
          <t>Hi Eva,
Noticed Eva Garland Consulting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8" s="25" t="inlineStr"/>
    </row>
    <row r="69">
      <c r="A69" s="21" t="n">
        <v>65</v>
      </c>
      <c r="B69" s="11" t="inlineStr">
        <is>
          <t>Bryan Garland</t>
        </is>
      </c>
      <c r="C69" s="12" t="inlineStr">
        <is>
          <t>Bryan</t>
        </is>
      </c>
      <c r="D69" s="12" t="inlineStr">
        <is>
          <t>Chief Operating Officer</t>
        </is>
      </c>
      <c r="E69" s="12" t="inlineStr">
        <is>
          <t>Tier 3: Senior Strategist / Proposal Lead (Power User)</t>
        </is>
      </c>
      <c r="F69" s="11" t="inlineStr">
        <is>
          <t>Eva Garland Consulting LLC</t>
        </is>
      </c>
      <c r="G69" s="12" t="inlineStr">
        <is>
          <t>https://energyadvisory.com</t>
        </is>
      </c>
      <c r="H69" s="12" t="inlineStr">
        <is>
          <t>Clean Tech &amp; Energy Advisory</t>
        </is>
      </c>
      <c r="I69" s="12" t="inlineStr">
        <is>
          <t>20-100</t>
        </is>
      </c>
      <c r="J69" s="12" t="inlineStr">
        <is>
          <t>bryan@evagarland.com</t>
        </is>
      </c>
      <c r="K69" s="12" t="inlineStr">
        <is>
          <t>(919) 825-1440</t>
        </is>
      </c>
      <c r="L69" s="12" t="inlineStr">
        <is>
          <t>Raleigh, NC</t>
        </is>
      </c>
      <c r="M69" s="12" t="inlineStr">
        <is>
          <t>DOE, NYSERDA, CEC, NSF</t>
        </is>
      </c>
      <c r="N69" s="12" t="inlineStr">
        <is>
          <t>Clean Tech Startups, Utilities, Research Consortia</t>
        </is>
      </c>
      <c r="O69" s="12" t="inlineStr">
        <is>
          <t>$500M+ federal and state grant applications supported</t>
        </is>
      </c>
      <c r="P69" s="12" t="inlineStr">
        <is>
          <t>Manual FOA decomposition and multi-database research consuming 20+ hours per proposal</t>
        </is>
      </c>
      <c r="Q69" s="12" t="inlineStr">
        <is>
          <t>10-second FOA shredder, 4-part PDF blueprints, and 5-stage capital continuum ledgers</t>
        </is>
      </c>
      <c r="R69" s="12" t="inlineStr">
        <is>
          <t>3-8 seats ($2,000 - $5,000/mo)</t>
        </is>
      </c>
      <c r="S69" s="15" t="n">
        <v>6000</v>
      </c>
      <c r="T69" s="21" t="inlineStr">
        <is>
          <t>Not Contacted</t>
        </is>
      </c>
      <c r="U69" s="13" t="inlineStr"/>
      <c r="V69" s="13" t="inlineStr"/>
      <c r="W69" s="13" t="inlineStr"/>
      <c r="X69" s="13" t="inlineStr"/>
      <c r="Y69" s="22" t="inlineStr">
        <is>
          <t>Hi Bryan,
Noticed Eva Garland Consulting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9" s="12" t="inlineStr"/>
    </row>
    <row r="70">
      <c r="A70" s="23" t="n">
        <v>66</v>
      </c>
      <c r="B70" s="24" t="inlineStr">
        <is>
          <t>Katy Rood</t>
        </is>
      </c>
      <c r="C70" s="25" t="inlineStr">
        <is>
          <t>Katy</t>
        </is>
      </c>
      <c r="D70" s="25" t="inlineStr">
        <is>
          <t>Director of Grants Management</t>
        </is>
      </c>
      <c r="E70" s="25" t="inlineStr">
        <is>
          <t>Tier 2: Practice Leader / Director (Budget Approver)</t>
        </is>
      </c>
      <c r="F70" s="24" t="inlineStr">
        <is>
          <t>Eva Garland Consulting LLC</t>
        </is>
      </c>
      <c r="G70" s="25" t="inlineStr">
        <is>
          <t>https://energyadvisory.com</t>
        </is>
      </c>
      <c r="H70" s="25" t="inlineStr">
        <is>
          <t>Clean Tech &amp; Energy Advisory</t>
        </is>
      </c>
      <c r="I70" s="25" t="inlineStr">
        <is>
          <t>20-100</t>
        </is>
      </c>
      <c r="J70" s="25" t="inlineStr">
        <is>
          <t>krood@evagarland.com</t>
        </is>
      </c>
      <c r="K70" s="25" t="inlineStr">
        <is>
          <t>(919) 825-1440</t>
        </is>
      </c>
      <c r="L70" s="25" t="inlineStr">
        <is>
          <t>Raleigh, NC</t>
        </is>
      </c>
      <c r="M70" s="25" t="inlineStr">
        <is>
          <t>DOE, NYSERDA, CEC, NSF</t>
        </is>
      </c>
      <c r="N70" s="25" t="inlineStr">
        <is>
          <t>Clean Tech Startups, Utilities, Research Consortia</t>
        </is>
      </c>
      <c r="O70" s="25" t="inlineStr">
        <is>
          <t>$500M+ federal and state grant applications supported</t>
        </is>
      </c>
      <c r="P70" s="25" t="inlineStr">
        <is>
          <t>Manual FOA decomposition and multi-database research consuming 20+ hours per proposal</t>
        </is>
      </c>
      <c r="Q70" s="25" t="inlineStr">
        <is>
          <t>10-second FOA shredder, 4-part PDF blueprints, and 5-stage capital continuum ledgers</t>
        </is>
      </c>
      <c r="R70" s="25" t="inlineStr">
        <is>
          <t>3-8 seats ($2,000 - $5,000/mo)</t>
        </is>
      </c>
      <c r="S70" s="26" t="n">
        <v>6000</v>
      </c>
      <c r="T70" s="23" t="inlineStr">
        <is>
          <t>Not Contacted</t>
        </is>
      </c>
      <c r="U70" s="27" t="inlineStr"/>
      <c r="V70" s="27" t="inlineStr"/>
      <c r="W70" s="27" t="inlineStr"/>
      <c r="X70" s="27" t="inlineStr"/>
      <c r="Y70" s="28" t="inlineStr">
        <is>
          <t>Hi Katy,
Noticed Eva Garland Consulting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0" s="25" t="inlineStr"/>
    </row>
    <row r="71">
      <c r="A71" s="21" t="n">
        <v>67</v>
      </c>
      <c r="B71" s="11" t="inlineStr">
        <is>
          <t>Dan Myers</t>
        </is>
      </c>
      <c r="C71" s="12" t="inlineStr">
        <is>
          <t>Dan</t>
        </is>
      </c>
      <c r="D71" s="12" t="inlineStr">
        <is>
          <t>Managing Director, Energy Practice</t>
        </is>
      </c>
      <c r="E71" s="12" t="inlineStr">
        <is>
          <t>Tier 1: Senior Executive / Partner (Decision Maker)</t>
        </is>
      </c>
      <c r="F71" s="11" t="inlineStr">
        <is>
          <t>Hanover Research</t>
        </is>
      </c>
      <c r="G71" s="12" t="inlineStr">
        <is>
          <t>https://energyadvisory.com</t>
        </is>
      </c>
      <c r="H71" s="12" t="inlineStr">
        <is>
          <t>Clean Tech &amp; Energy Advisory</t>
        </is>
      </c>
      <c r="I71" s="12" t="inlineStr">
        <is>
          <t>20-100</t>
        </is>
      </c>
      <c r="J71" s="12" t="inlineStr">
        <is>
          <t>dmyers@hanoverresearch.com</t>
        </is>
      </c>
      <c r="K71" s="12" t="inlineStr">
        <is>
          <t>(202) 559-0050</t>
        </is>
      </c>
      <c r="L71" s="12" t="inlineStr">
        <is>
          <t>Arlington, VA</t>
        </is>
      </c>
      <c r="M71" s="12" t="inlineStr">
        <is>
          <t>DOE, NYSERDA, CEC, NSF</t>
        </is>
      </c>
      <c r="N71" s="12" t="inlineStr">
        <is>
          <t>Clean Tech Startups, Utilities, Research Consortia</t>
        </is>
      </c>
      <c r="O71" s="12" t="inlineStr">
        <is>
          <t>$500M+ federal and state grant applications supported</t>
        </is>
      </c>
      <c r="P71" s="12" t="inlineStr">
        <is>
          <t>Manual FOA decomposition and multi-database research consuming 20+ hours per proposal</t>
        </is>
      </c>
      <c r="Q71" s="12" t="inlineStr">
        <is>
          <t>10-second FOA shredder, 4-part PDF blueprints, and 5-stage capital continuum ledgers</t>
        </is>
      </c>
      <c r="R71" s="12" t="inlineStr">
        <is>
          <t>3-8 seats ($2,000 - $5,000/mo)</t>
        </is>
      </c>
      <c r="S71" s="15" t="n">
        <v>6000</v>
      </c>
      <c r="T71" s="21" t="inlineStr">
        <is>
          <t>Not Contacted</t>
        </is>
      </c>
      <c r="U71" s="13" t="inlineStr"/>
      <c r="V71" s="13" t="inlineStr"/>
      <c r="W71" s="13" t="inlineStr"/>
      <c r="X71" s="13" t="inlineStr"/>
      <c r="Y71" s="22" t="inlineStr">
        <is>
          <t>Hi Dan,
Noticed Hanover Research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1" s="12" t="inlineStr"/>
    </row>
    <row r="72">
      <c r="A72" s="23" t="n">
        <v>68</v>
      </c>
      <c r="B72" s="24" t="inlineStr">
        <is>
          <t>Sarah Bendoraitis</t>
        </is>
      </c>
      <c r="C72" s="25" t="inlineStr">
        <is>
          <t>Sarah</t>
        </is>
      </c>
      <c r="D72" s="25" t="inlineStr">
        <is>
          <t>Senior Director, Proposal Support</t>
        </is>
      </c>
      <c r="E72" s="25" t="inlineStr">
        <is>
          <t>Tier 2: Practice Leader / Director (Budget Approver)</t>
        </is>
      </c>
      <c r="F72" s="24" t="inlineStr">
        <is>
          <t>Hanover Research</t>
        </is>
      </c>
      <c r="G72" s="25" t="inlineStr">
        <is>
          <t>https://energyadvisory.com</t>
        </is>
      </c>
      <c r="H72" s="25" t="inlineStr">
        <is>
          <t>Clean Tech &amp; Energy Advisory</t>
        </is>
      </c>
      <c r="I72" s="25" t="inlineStr">
        <is>
          <t>20-100</t>
        </is>
      </c>
      <c r="J72" s="25" t="inlineStr">
        <is>
          <t>sbendoraitis@hanoverresearch.com</t>
        </is>
      </c>
      <c r="K72" s="25" t="inlineStr">
        <is>
          <t>(202) 559-0050</t>
        </is>
      </c>
      <c r="L72" s="25" t="inlineStr">
        <is>
          <t>Arlington, VA</t>
        </is>
      </c>
      <c r="M72" s="25" t="inlineStr">
        <is>
          <t>DOE, NYSERDA, CEC, NSF</t>
        </is>
      </c>
      <c r="N72" s="25" t="inlineStr">
        <is>
          <t>Clean Tech Startups, Utilities, Research Consortia</t>
        </is>
      </c>
      <c r="O72" s="25" t="inlineStr">
        <is>
          <t>$500M+ federal and state grant applications supported</t>
        </is>
      </c>
      <c r="P72" s="25" t="inlineStr">
        <is>
          <t>Manual FOA decomposition and multi-database research consuming 20+ hours per proposal</t>
        </is>
      </c>
      <c r="Q72" s="25" t="inlineStr">
        <is>
          <t>10-second FOA shredder, 4-part PDF blueprints, and 5-stage capital continuum ledgers</t>
        </is>
      </c>
      <c r="R72" s="25" t="inlineStr">
        <is>
          <t>3-8 seats ($2,000 - $5,000/mo)</t>
        </is>
      </c>
      <c r="S72" s="26" t="n">
        <v>6000</v>
      </c>
      <c r="T72" s="23" t="inlineStr">
        <is>
          <t>Not Contacted</t>
        </is>
      </c>
      <c r="U72" s="27" t="inlineStr"/>
      <c r="V72" s="27" t="inlineStr"/>
      <c r="W72" s="27" t="inlineStr"/>
      <c r="X72" s="27" t="inlineStr"/>
      <c r="Y72" s="28" t="inlineStr">
        <is>
          <t>Hi Sarah,
Noticed Hanover Research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2" s="25" t="inlineStr"/>
    </row>
    <row r="73">
      <c r="A73" s="21" t="n">
        <v>69</v>
      </c>
      <c r="B73" s="11" t="inlineStr">
        <is>
          <t>Peter Fiske</t>
        </is>
      </c>
      <c r="C73" s="12" t="inlineStr">
        <is>
          <t>Peter</t>
        </is>
      </c>
      <c r="D73" s="12" t="inlineStr">
        <is>
          <t>Executive Director</t>
        </is>
      </c>
      <c r="E73" s="12" t="inlineStr">
        <is>
          <t>Tier 2: Practice Leader / Director (Budget Approver)</t>
        </is>
      </c>
      <c r="F73" s="11" t="inlineStr">
        <is>
          <t>NAWI (National Alliance for Water Innovation)</t>
        </is>
      </c>
      <c r="G73" s="12" t="inlineStr">
        <is>
          <t>https://energyadvisory.com</t>
        </is>
      </c>
      <c r="H73" s="12" t="inlineStr">
        <is>
          <t>Clean Tech &amp; Energy Advisory</t>
        </is>
      </c>
      <c r="I73" s="12" t="inlineStr">
        <is>
          <t>20-100</t>
        </is>
      </c>
      <c r="J73" s="12" t="inlineStr">
        <is>
          <t>pfiske@lbl.gov</t>
        </is>
      </c>
      <c r="K73" s="12" t="inlineStr">
        <is>
          <t>(510) 486-4000</t>
        </is>
      </c>
      <c r="L73" s="12" t="inlineStr">
        <is>
          <t>Berkeley, CA</t>
        </is>
      </c>
      <c r="M73" s="12" t="inlineStr">
        <is>
          <t>DOE, NYSERDA, CEC, NSF</t>
        </is>
      </c>
      <c r="N73" s="12" t="inlineStr">
        <is>
          <t>Clean Tech Startups, Utilities, Research Consortia</t>
        </is>
      </c>
      <c r="O73" s="12" t="inlineStr">
        <is>
          <t>$500M+ federal and state grant applications supported</t>
        </is>
      </c>
      <c r="P73" s="12" t="inlineStr">
        <is>
          <t>Manual FOA decomposition and multi-database research consuming 20+ hours per proposal</t>
        </is>
      </c>
      <c r="Q73" s="12" t="inlineStr">
        <is>
          <t>10-second FOA shredder, 4-part PDF blueprints, and 5-stage capital continuum ledgers</t>
        </is>
      </c>
      <c r="R73" s="12" t="inlineStr">
        <is>
          <t>3-8 seats ($2,000 - $5,000/mo)</t>
        </is>
      </c>
      <c r="S73" s="15" t="n">
        <v>6000</v>
      </c>
      <c r="T73" s="21" t="inlineStr">
        <is>
          <t>Not Contacted</t>
        </is>
      </c>
      <c r="U73" s="13" t="inlineStr"/>
      <c r="V73" s="13" t="inlineStr"/>
      <c r="W73" s="13" t="inlineStr"/>
      <c r="X73" s="13" t="inlineStr"/>
      <c r="Y73" s="22" t="inlineStr">
        <is>
          <t>Hi Peter,
Noticed NAWI (National Alliance for Water Innovation)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3" s="12" t="inlineStr"/>
    </row>
    <row r="74">
      <c r="A74" s="23" t="n">
        <v>70</v>
      </c>
      <c r="B74" s="24" t="inlineStr">
        <is>
          <t>Dickon Hall</t>
        </is>
      </c>
      <c r="C74" s="25" t="inlineStr">
        <is>
          <t>Dickon</t>
        </is>
      </c>
      <c r="D74" s="25" t="inlineStr">
        <is>
          <t>Managing Partner</t>
        </is>
      </c>
      <c r="E74" s="25" t="inlineStr">
        <is>
          <t>Tier 1: Senior Executive / Partner (Decision Maker)</t>
        </is>
      </c>
      <c r="F74" s="24" t="inlineStr">
        <is>
          <t>FreeMind Group</t>
        </is>
      </c>
      <c r="G74" s="25" t="inlineStr">
        <is>
          <t>https://energyadvisory.com</t>
        </is>
      </c>
      <c r="H74" s="25" t="inlineStr">
        <is>
          <t>Clean Tech &amp; Energy Advisory</t>
        </is>
      </c>
      <c r="I74" s="25" t="inlineStr">
        <is>
          <t>20-100</t>
        </is>
      </c>
      <c r="J74" s="25" t="inlineStr">
        <is>
          <t>dickon@freemindconsultants.com</t>
        </is>
      </c>
      <c r="K74" s="25" t="inlineStr">
        <is>
          <t>(617) 648-9340</t>
        </is>
      </c>
      <c r="L74" s="25" t="inlineStr">
        <is>
          <t>Boston, MA</t>
        </is>
      </c>
      <c r="M74" s="25" t="inlineStr">
        <is>
          <t>DOE, NYSERDA, CEC, NSF</t>
        </is>
      </c>
      <c r="N74" s="25" t="inlineStr">
        <is>
          <t>Clean Tech Startups, Utilities, Research Consortia</t>
        </is>
      </c>
      <c r="O74" s="25" t="inlineStr">
        <is>
          <t>$500M+ federal and state grant applications supported</t>
        </is>
      </c>
      <c r="P74" s="25" t="inlineStr">
        <is>
          <t>Manual FOA decomposition and multi-database research consuming 20+ hours per proposal</t>
        </is>
      </c>
      <c r="Q74" s="25" t="inlineStr">
        <is>
          <t>10-second FOA shredder, 4-part PDF blueprints, and 5-stage capital continuum ledgers</t>
        </is>
      </c>
      <c r="R74" s="25" t="inlineStr">
        <is>
          <t>3-8 seats ($2,000 - $5,000/mo)</t>
        </is>
      </c>
      <c r="S74" s="26" t="n">
        <v>6000</v>
      </c>
      <c r="T74" s="23" t="inlineStr">
        <is>
          <t>Not Contacted</t>
        </is>
      </c>
      <c r="U74" s="27" t="inlineStr"/>
      <c r="V74" s="27" t="inlineStr"/>
      <c r="W74" s="27" t="inlineStr"/>
      <c r="X74" s="27" t="inlineStr"/>
      <c r="Y74" s="28" t="inlineStr">
        <is>
          <t>Hi Dickon,
Noticed FreeMind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4" s="25" t="inlineStr"/>
    </row>
    <row r="75">
      <c r="A75" s="21" t="n">
        <v>71</v>
      </c>
      <c r="B75" s="11" t="inlineStr">
        <is>
          <t>Joel Golan</t>
        </is>
      </c>
      <c r="C75" s="12" t="inlineStr">
        <is>
          <t>Joel</t>
        </is>
      </c>
      <c r="D75" s="12" t="inlineStr">
        <is>
          <t>Director of Client Development</t>
        </is>
      </c>
      <c r="E75" s="12" t="inlineStr">
        <is>
          <t>Tier 2: Practice Leader / Director (Budget Approver)</t>
        </is>
      </c>
      <c r="F75" s="11" t="inlineStr">
        <is>
          <t>FreeMind Group</t>
        </is>
      </c>
      <c r="G75" s="12" t="inlineStr">
        <is>
          <t>https://energyadvisory.com</t>
        </is>
      </c>
      <c r="H75" s="12" t="inlineStr">
        <is>
          <t>Clean Tech &amp; Energy Advisory</t>
        </is>
      </c>
      <c r="I75" s="12" t="inlineStr">
        <is>
          <t>20-100</t>
        </is>
      </c>
      <c r="J75" s="12" t="inlineStr">
        <is>
          <t>joel@freemindconsultants.com</t>
        </is>
      </c>
      <c r="K75" s="12" t="inlineStr">
        <is>
          <t>(617) 648-9340</t>
        </is>
      </c>
      <c r="L75" s="12" t="inlineStr">
        <is>
          <t>Boston, MA</t>
        </is>
      </c>
      <c r="M75" s="12" t="inlineStr">
        <is>
          <t>DOE, NYSERDA, CEC, NSF</t>
        </is>
      </c>
      <c r="N75" s="12" t="inlineStr">
        <is>
          <t>Clean Tech Startups, Utilities, Research Consortia</t>
        </is>
      </c>
      <c r="O75" s="12" t="inlineStr">
        <is>
          <t>$500M+ federal and state grant applications supported</t>
        </is>
      </c>
      <c r="P75" s="12" t="inlineStr">
        <is>
          <t>Manual FOA decomposition and multi-database research consuming 20+ hours per proposal</t>
        </is>
      </c>
      <c r="Q75" s="12" t="inlineStr">
        <is>
          <t>10-second FOA shredder, 4-part PDF blueprints, and 5-stage capital continuum ledgers</t>
        </is>
      </c>
      <c r="R75" s="12" t="inlineStr">
        <is>
          <t>3-8 seats ($2,000 - $5,000/mo)</t>
        </is>
      </c>
      <c r="S75" s="15" t="n">
        <v>6000</v>
      </c>
      <c r="T75" s="21" t="inlineStr">
        <is>
          <t>Not Contacted</t>
        </is>
      </c>
      <c r="U75" s="13" t="inlineStr"/>
      <c r="V75" s="13" t="inlineStr"/>
      <c r="W75" s="13" t="inlineStr"/>
      <c r="X75" s="13" t="inlineStr"/>
      <c r="Y75" s="22" t="inlineStr">
        <is>
          <t>Hi Joel,
Noticed FreeMind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5" s="12" t="inlineStr"/>
    </row>
    <row r="76">
      <c r="A76" s="23" t="n">
        <v>72</v>
      </c>
      <c r="B76" s="24" t="inlineStr">
        <is>
          <t>Ben Rogers</t>
        </is>
      </c>
      <c r="C76" s="25" t="inlineStr">
        <is>
          <t>Ben</t>
        </is>
      </c>
      <c r="D76" s="25" t="inlineStr">
        <is>
          <t>Partner</t>
        </is>
      </c>
      <c r="E76" s="25" t="inlineStr">
        <is>
          <t>Tier 1: Senior Executive / Partner (Decision Maker)</t>
        </is>
      </c>
      <c r="F76" s="24" t="inlineStr">
        <is>
          <t>TurboSBIR</t>
        </is>
      </c>
      <c r="G76" s="25" t="inlineStr">
        <is>
          <t>https://energyadvisory.com</t>
        </is>
      </c>
      <c r="H76" s="25" t="inlineStr">
        <is>
          <t>Clean Tech &amp; Energy Advisory</t>
        </is>
      </c>
      <c r="I76" s="25" t="inlineStr">
        <is>
          <t>20-100</t>
        </is>
      </c>
      <c r="J76" s="25" t="inlineStr">
        <is>
          <t>ben@turbosbir.com</t>
        </is>
      </c>
      <c r="K76" s="25" t="inlineStr">
        <is>
          <t>(617) 383-7247</t>
        </is>
      </c>
      <c r="L76" s="25" t="inlineStr">
        <is>
          <t>Boston, MA</t>
        </is>
      </c>
      <c r="M76" s="25" t="inlineStr">
        <is>
          <t>DOE, NYSERDA, CEC, NSF</t>
        </is>
      </c>
      <c r="N76" s="25" t="inlineStr">
        <is>
          <t>Clean Tech Startups, Utilities, Research Consortia</t>
        </is>
      </c>
      <c r="O76" s="25" t="inlineStr">
        <is>
          <t>$500M+ federal and state grant applications supported</t>
        </is>
      </c>
      <c r="P76" s="25" t="inlineStr">
        <is>
          <t>Manual FOA decomposition and multi-database research consuming 20+ hours per proposal</t>
        </is>
      </c>
      <c r="Q76" s="25" t="inlineStr">
        <is>
          <t>10-second FOA shredder, 4-part PDF blueprints, and 5-stage capital continuum ledgers</t>
        </is>
      </c>
      <c r="R76" s="25" t="inlineStr">
        <is>
          <t>3-8 seats ($2,000 - $5,000/mo)</t>
        </is>
      </c>
      <c r="S76" s="26" t="n">
        <v>6000</v>
      </c>
      <c r="T76" s="23" t="inlineStr">
        <is>
          <t>Not Contacted</t>
        </is>
      </c>
      <c r="U76" s="27" t="inlineStr"/>
      <c r="V76" s="27" t="inlineStr"/>
      <c r="W76" s="27" t="inlineStr"/>
      <c r="X76" s="27" t="inlineStr"/>
      <c r="Y76" s="28" t="inlineStr">
        <is>
          <t>Hi Ben,
Noticed TurboSBIR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6" s="25" t="inlineStr"/>
    </row>
    <row r="77">
      <c r="A77" s="21" t="n">
        <v>73</v>
      </c>
      <c r="B77" s="11" t="inlineStr">
        <is>
          <t>Emily Jones</t>
        </is>
      </c>
      <c r="C77" s="12" t="inlineStr">
        <is>
          <t>Emily</t>
        </is>
      </c>
      <c r="D77" s="12" t="inlineStr">
        <is>
          <t>Director of Grant Programs</t>
        </is>
      </c>
      <c r="E77" s="12" t="inlineStr">
        <is>
          <t>Tier 2: Practice Leader / Director (Budget Approver)</t>
        </is>
      </c>
      <c r="F77" s="11" t="inlineStr">
        <is>
          <t>Activate Global</t>
        </is>
      </c>
      <c r="G77" s="12" t="inlineStr">
        <is>
          <t>https://energyadvisory.com</t>
        </is>
      </c>
      <c r="H77" s="12" t="inlineStr">
        <is>
          <t>Clean Tech &amp; Energy Advisory</t>
        </is>
      </c>
      <c r="I77" s="12" t="inlineStr">
        <is>
          <t>20-100</t>
        </is>
      </c>
      <c r="J77" s="12" t="inlineStr">
        <is>
          <t>ejones@activate.org</t>
        </is>
      </c>
      <c r="K77" s="12" t="inlineStr">
        <is>
          <t>(510) 844-4800</t>
        </is>
      </c>
      <c r="L77" s="12" t="inlineStr">
        <is>
          <t>Berkeley, CA</t>
        </is>
      </c>
      <c r="M77" s="12" t="inlineStr">
        <is>
          <t>DOE, NYSERDA, CEC, NSF</t>
        </is>
      </c>
      <c r="N77" s="12" t="inlineStr">
        <is>
          <t>Clean Tech Startups, Utilities, Research Consortia</t>
        </is>
      </c>
      <c r="O77" s="12" t="inlineStr">
        <is>
          <t>$500M+ federal and state grant applications supported</t>
        </is>
      </c>
      <c r="P77" s="12" t="inlineStr">
        <is>
          <t>Manual FOA decomposition and multi-database research consuming 20+ hours per proposal</t>
        </is>
      </c>
      <c r="Q77" s="12" t="inlineStr">
        <is>
          <t>10-second FOA shredder, 4-part PDF blueprints, and 5-stage capital continuum ledgers</t>
        </is>
      </c>
      <c r="R77" s="12" t="inlineStr">
        <is>
          <t>3-8 seats ($2,000 - $5,000/mo)</t>
        </is>
      </c>
      <c r="S77" s="15" t="n">
        <v>6000</v>
      </c>
      <c r="T77" s="21" t="inlineStr">
        <is>
          <t>Not Contacted</t>
        </is>
      </c>
      <c r="U77" s="13" t="inlineStr"/>
      <c r="V77" s="13" t="inlineStr"/>
      <c r="W77" s="13" t="inlineStr"/>
      <c r="X77" s="13" t="inlineStr"/>
      <c r="Y77" s="22" t="inlineStr">
        <is>
          <t>Hi Emily,
Noticed Activate Global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7" s="12" t="inlineStr"/>
    </row>
    <row r="78">
      <c r="A78" s="23" t="n">
        <v>74</v>
      </c>
      <c r="B78" s="24" t="inlineStr">
        <is>
          <t>Aakarsha Rai</t>
        </is>
      </c>
      <c r="C78" s="25" t="inlineStr">
        <is>
          <t>Aakarsha</t>
        </is>
      </c>
      <c r="D78" s="25" t="inlineStr">
        <is>
          <t>Portfolio Manager</t>
        </is>
      </c>
      <c r="E78" s="25" t="inlineStr">
        <is>
          <t>Tier 3: Senior Strategist / Proposal Lead (Power User)</t>
        </is>
      </c>
      <c r="F78" s="24" t="inlineStr">
        <is>
          <t>Activate Global</t>
        </is>
      </c>
      <c r="G78" s="25" t="inlineStr">
        <is>
          <t>https://energyadvisory.com</t>
        </is>
      </c>
      <c r="H78" s="25" t="inlineStr">
        <is>
          <t>Clean Tech &amp; Energy Advisory</t>
        </is>
      </c>
      <c r="I78" s="25" t="inlineStr">
        <is>
          <t>20-100</t>
        </is>
      </c>
      <c r="J78" s="25" t="inlineStr">
        <is>
          <t>arai@activate.org</t>
        </is>
      </c>
      <c r="K78" s="25" t="inlineStr">
        <is>
          <t>(510) 844-4800</t>
        </is>
      </c>
      <c r="L78" s="25" t="inlineStr">
        <is>
          <t>Boston, MA</t>
        </is>
      </c>
      <c r="M78" s="25" t="inlineStr">
        <is>
          <t>DOE, NYSERDA, CEC, NSF</t>
        </is>
      </c>
      <c r="N78" s="25" t="inlineStr">
        <is>
          <t>Clean Tech Startups, Utilities, Research Consortia</t>
        </is>
      </c>
      <c r="O78" s="25" t="inlineStr">
        <is>
          <t>$500M+ federal and state grant applications supported</t>
        </is>
      </c>
      <c r="P78" s="25" t="inlineStr">
        <is>
          <t>Manual FOA decomposition and multi-database research consuming 20+ hours per proposal</t>
        </is>
      </c>
      <c r="Q78" s="25" t="inlineStr">
        <is>
          <t>10-second FOA shredder, 4-part PDF blueprints, and 5-stage capital continuum ledgers</t>
        </is>
      </c>
      <c r="R78" s="25" t="inlineStr">
        <is>
          <t>3-8 seats ($2,000 - $5,000/mo)</t>
        </is>
      </c>
      <c r="S78" s="26" t="n">
        <v>6000</v>
      </c>
      <c r="T78" s="23" t="inlineStr">
        <is>
          <t>Not Contacted</t>
        </is>
      </c>
      <c r="U78" s="27" t="inlineStr"/>
      <c r="V78" s="27" t="inlineStr"/>
      <c r="W78" s="27" t="inlineStr"/>
      <c r="X78" s="27" t="inlineStr"/>
      <c r="Y78" s="28" t="inlineStr">
        <is>
          <t>Hi Aakarsha,
Noticed Activate Global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8" s="25" t="inlineStr"/>
    </row>
    <row r="79">
      <c r="A79" s="21" t="n">
        <v>75</v>
      </c>
      <c r="B79" s="11" t="inlineStr">
        <is>
          <t>Matt Peterson</t>
        </is>
      </c>
      <c r="C79" s="12" t="inlineStr">
        <is>
          <t>Matt</t>
        </is>
      </c>
      <c r="D79" s="12" t="inlineStr">
        <is>
          <t>President &amp; CEO</t>
        </is>
      </c>
      <c r="E79" s="12" t="inlineStr">
        <is>
          <t>Tier 1: Senior Executive / Partner (Decision Maker)</t>
        </is>
      </c>
      <c r="F79" s="11" t="inlineStr">
        <is>
          <t>Los Angeles Cleantech Incubator (LACI)</t>
        </is>
      </c>
      <c r="G79" s="12" t="inlineStr">
        <is>
          <t>https://energyadvisory.com</t>
        </is>
      </c>
      <c r="H79" s="12" t="inlineStr">
        <is>
          <t>Clean Tech &amp; Energy Advisory</t>
        </is>
      </c>
      <c r="I79" s="12" t="inlineStr">
        <is>
          <t>20-100</t>
        </is>
      </c>
      <c r="J79" s="12" t="inlineStr">
        <is>
          <t>matt@laci.org</t>
        </is>
      </c>
      <c r="K79" s="12" t="inlineStr">
        <is>
          <t>(213) 358-6500</t>
        </is>
      </c>
      <c r="L79" s="12" t="inlineStr">
        <is>
          <t>Los Angeles, CA</t>
        </is>
      </c>
      <c r="M79" s="12" t="inlineStr">
        <is>
          <t>DOE, NYSERDA, CEC, NSF</t>
        </is>
      </c>
      <c r="N79" s="12" t="inlineStr">
        <is>
          <t>Clean Tech Startups, Utilities, Research Consortia</t>
        </is>
      </c>
      <c r="O79" s="12" t="inlineStr">
        <is>
          <t>$500M+ federal and state grant applications supported</t>
        </is>
      </c>
      <c r="P79" s="12" t="inlineStr">
        <is>
          <t>Manual FOA decomposition and multi-database research consuming 20+ hours per proposal</t>
        </is>
      </c>
      <c r="Q79" s="12" t="inlineStr">
        <is>
          <t>10-second FOA shredder, 4-part PDF blueprints, and 5-stage capital continuum ledgers</t>
        </is>
      </c>
      <c r="R79" s="12" t="inlineStr">
        <is>
          <t>3-8 seats ($2,000 - $5,000/mo)</t>
        </is>
      </c>
      <c r="S79" s="15" t="n">
        <v>6000</v>
      </c>
      <c r="T79" s="21" t="inlineStr">
        <is>
          <t>Not Contacted</t>
        </is>
      </c>
      <c r="U79" s="13" t="inlineStr"/>
      <c r="V79" s="13" t="inlineStr"/>
      <c r="W79" s="13" t="inlineStr"/>
      <c r="X79" s="13" t="inlineStr"/>
      <c r="Y79" s="22" t="inlineStr">
        <is>
          <t>Hi Matt,
Noticed Los Angeles Cleantech Incubator (LACI)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9" s="12" t="inlineStr"/>
    </row>
    <row r="80">
      <c r="A80" s="23" t="n">
        <v>76</v>
      </c>
      <c r="B80" s="24" t="inlineStr">
        <is>
          <t>Peter Mostow</t>
        </is>
      </c>
      <c r="C80" s="25" t="inlineStr">
        <is>
          <t>Peter</t>
        </is>
      </c>
      <c r="D80" s="25" t="inlineStr">
        <is>
          <t>Partner &amp; Co-Chair, Cleantech Practice</t>
        </is>
      </c>
      <c r="E80" s="25" t="inlineStr">
        <is>
          <t>Tier 1: Senior Executive / Partner (Decision Maker)</t>
        </is>
      </c>
      <c r="F80" s="24" t="inlineStr">
        <is>
          <t>Wilson Sonsini Goodrich &amp; Rosati</t>
        </is>
      </c>
      <c r="G80" s="25" t="inlineStr">
        <is>
          <t>https://wsgr.com</t>
        </is>
      </c>
      <c r="H80" s="25" t="inlineStr">
        <is>
          <t>Tier 1 Energy &amp; Clean Tech Legal Practice</t>
        </is>
      </c>
      <c r="I80" s="25" t="inlineStr">
        <is>
          <t>1,200+ (100+ Energy &amp; Climate)</t>
        </is>
      </c>
      <c r="J80" s="25" t="inlineStr">
        <is>
          <t>pmostow@wsgr.com</t>
        </is>
      </c>
      <c r="K80" s="25" t="inlineStr">
        <is>
          <t>(206) 883-2500</t>
        </is>
      </c>
      <c r="L80" s="25" t="inlineStr">
        <is>
          <t>Seattle / SF</t>
        </is>
      </c>
      <c r="M80" s="25" t="inlineStr">
        <is>
          <t>DOE LPO, DOE OCED, IRA Clean Energy Tax Credits (45V, 45Q, 48C), Treasury</t>
        </is>
      </c>
      <c r="N80" s="25" t="inlineStr">
        <is>
          <t>Premier Climate Tech Startups, Project Developers, Infrastructure VCs</t>
        </is>
      </c>
      <c r="O80" s="25" t="inlineStr">
        <is>
          <t>Advises on hundreds of billions in clean tech financings and LPO loans</t>
        </is>
      </c>
      <c r="P80" s="25" t="inlineStr">
        <is>
          <t>Performing legal and commercial diligence on grant covenants, cost-share agreements, and Bayh-Dole patent rights</t>
        </is>
      </c>
      <c r="Q80" s="25" t="inlineStr">
        <is>
          <t>Recipient Capital Dossier showing federal grant-to-patent lineage and statutory compliance covenants</t>
        </is>
      </c>
      <c r="R80" s="25" t="inlineStr">
        <is>
          <t>10-25 seats ($10,000 - $25,000/mo)</t>
        </is>
      </c>
      <c r="S80" s="26" t="n">
        <v>15000</v>
      </c>
      <c r="T80" s="23" t="inlineStr">
        <is>
          <t>Not Contacted</t>
        </is>
      </c>
      <c r="U80" s="27" t="inlineStr"/>
      <c r="V80" s="27" t="inlineStr"/>
      <c r="W80" s="27" t="inlineStr"/>
      <c r="X80" s="27" t="inlineStr"/>
      <c r="Y80" s="28" t="inlineStr">
        <is>
          <t>Hi Peter,
Noticed Wilson Sonsini Goodrich &amp; Rosati is actively advising clean tech innovators on major federal and state funding rounds (DOE LPO).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0" s="25" t="inlineStr"/>
    </row>
    <row r="81">
      <c r="A81" s="21" t="n">
        <v>77</v>
      </c>
      <c r="B81" s="11" t="inlineStr">
        <is>
          <t>Robert O'Connor</t>
        </is>
      </c>
      <c r="C81" s="12" t="inlineStr">
        <is>
          <t>Robert</t>
        </is>
      </c>
      <c r="D81" s="12" t="inlineStr">
        <is>
          <t>Partner, Energy &amp; Infrastructure</t>
        </is>
      </c>
      <c r="E81" s="12" t="inlineStr">
        <is>
          <t>Tier 1: Senior Executive / Partner (Decision Maker)</t>
        </is>
      </c>
      <c r="F81" s="11" t="inlineStr">
        <is>
          <t>Wilson Sonsini</t>
        </is>
      </c>
      <c r="G81" s="12" t="inlineStr">
        <is>
          <t>https://energyadvisory.com</t>
        </is>
      </c>
      <c r="H81" s="12" t="inlineStr">
        <is>
          <t>Clean Tech &amp; Energy Advisory</t>
        </is>
      </c>
      <c r="I81" s="12" t="inlineStr">
        <is>
          <t>20-100</t>
        </is>
      </c>
      <c r="J81" s="12" t="inlineStr">
        <is>
          <t>roconnor@wsgr.com</t>
        </is>
      </c>
      <c r="K81" s="12" t="inlineStr">
        <is>
          <t>(650) 493-9300</t>
        </is>
      </c>
      <c r="L81" s="12" t="inlineStr">
        <is>
          <t>Palo Alto, CA</t>
        </is>
      </c>
      <c r="M81" s="12" t="inlineStr">
        <is>
          <t>DOE, NYSERDA, CEC, NSF</t>
        </is>
      </c>
      <c r="N81" s="12" t="inlineStr">
        <is>
          <t>Clean Tech Startups, Utilities, Research Consortia</t>
        </is>
      </c>
      <c r="O81" s="12" t="inlineStr">
        <is>
          <t>$500M+ federal and state grant applications supported</t>
        </is>
      </c>
      <c r="P81" s="12" t="inlineStr">
        <is>
          <t>Manual FOA decomposition and multi-database research consuming 20+ hours per proposal</t>
        </is>
      </c>
      <c r="Q81" s="12" t="inlineStr">
        <is>
          <t>10-second FOA shredder, 4-part PDF blueprints, and 5-stage capital continuum ledgers</t>
        </is>
      </c>
      <c r="R81" s="12" t="inlineStr">
        <is>
          <t>3-8 seats ($2,000 - $5,000/mo)</t>
        </is>
      </c>
      <c r="S81" s="15" t="n">
        <v>6000</v>
      </c>
      <c r="T81" s="21" t="inlineStr">
        <is>
          <t>Not Contacted</t>
        </is>
      </c>
      <c r="U81" s="13" t="inlineStr"/>
      <c r="V81" s="13" t="inlineStr"/>
      <c r="W81" s="13" t="inlineStr"/>
      <c r="X81" s="13" t="inlineStr"/>
      <c r="Y81" s="22" t="inlineStr">
        <is>
          <t>Hi Robert,
Noticed Wilson Sonsini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1" s="12" t="inlineStr"/>
    </row>
    <row r="82">
      <c r="A82" s="23" t="n">
        <v>78</v>
      </c>
      <c r="B82" s="24" t="inlineStr">
        <is>
          <t>Elise Zoli</t>
        </is>
      </c>
      <c r="C82" s="25" t="inlineStr">
        <is>
          <t>Elise</t>
        </is>
      </c>
      <c r="D82" s="25" t="inlineStr">
        <is>
          <t>Partner, Energy Transition Practice</t>
        </is>
      </c>
      <c r="E82" s="25" t="inlineStr">
        <is>
          <t>Tier 1: Senior Executive / Partner (Decision Maker)</t>
        </is>
      </c>
      <c r="F82" s="24" t="inlineStr">
        <is>
          <t>Wilson Sonsini</t>
        </is>
      </c>
      <c r="G82" s="25" t="inlineStr">
        <is>
          <t>https://energyadvisory.com</t>
        </is>
      </c>
      <c r="H82" s="25" t="inlineStr">
        <is>
          <t>Clean Tech &amp; Energy Advisory</t>
        </is>
      </c>
      <c r="I82" s="25" t="inlineStr">
        <is>
          <t>20-100</t>
        </is>
      </c>
      <c r="J82" s="25" t="inlineStr">
        <is>
          <t>ezoli@wsgr.com</t>
        </is>
      </c>
      <c r="K82" s="25" t="inlineStr">
        <is>
          <t>(617) 598-7800</t>
        </is>
      </c>
      <c r="L82" s="25" t="inlineStr">
        <is>
          <t>Boston, MA</t>
        </is>
      </c>
      <c r="M82" s="25" t="inlineStr">
        <is>
          <t>DOE, NYSERDA, CEC, NSF</t>
        </is>
      </c>
      <c r="N82" s="25" t="inlineStr">
        <is>
          <t>Clean Tech Startups, Utilities, Research Consortia</t>
        </is>
      </c>
      <c r="O82" s="25" t="inlineStr">
        <is>
          <t>$500M+ federal and state grant applications supported</t>
        </is>
      </c>
      <c r="P82" s="25" t="inlineStr">
        <is>
          <t>Manual FOA decomposition and multi-database research consuming 20+ hours per proposal</t>
        </is>
      </c>
      <c r="Q82" s="25" t="inlineStr">
        <is>
          <t>10-second FOA shredder, 4-part PDF blueprints, and 5-stage capital continuum ledgers</t>
        </is>
      </c>
      <c r="R82" s="25" t="inlineStr">
        <is>
          <t>3-8 seats ($2,000 - $5,000/mo)</t>
        </is>
      </c>
      <c r="S82" s="26" t="n">
        <v>6000</v>
      </c>
      <c r="T82" s="23" t="inlineStr">
        <is>
          <t>Not Contacted</t>
        </is>
      </c>
      <c r="U82" s="27" t="inlineStr"/>
      <c r="V82" s="27" t="inlineStr"/>
      <c r="W82" s="27" t="inlineStr"/>
      <c r="X82" s="27" t="inlineStr"/>
      <c r="Y82" s="28" t="inlineStr">
        <is>
          <t>Hi Elise,
Noticed Wilson Sonsini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2" s="25" t="inlineStr"/>
    </row>
    <row r="83">
      <c r="A83" s="21" t="n">
        <v>79</v>
      </c>
      <c r="B83" s="11" t="inlineStr">
        <is>
          <t>Seth Hoedl</t>
        </is>
      </c>
      <c r="C83" s="12" t="inlineStr">
        <is>
          <t>Seth</t>
        </is>
      </c>
      <c r="D83" s="12" t="inlineStr">
        <is>
          <t>Partner, Energy &amp; Climate</t>
        </is>
      </c>
      <c r="E83" s="12" t="inlineStr">
        <is>
          <t>Tier 1: Senior Executive / Partner (Decision Maker)</t>
        </is>
      </c>
      <c r="F83" s="11" t="inlineStr">
        <is>
          <t>Foley Hoag LLP</t>
        </is>
      </c>
      <c r="G83" s="12" t="inlineStr">
        <is>
          <t>https://energyadvisory.com</t>
        </is>
      </c>
      <c r="H83" s="12" t="inlineStr">
        <is>
          <t>Clean Tech &amp; Energy Advisory</t>
        </is>
      </c>
      <c r="I83" s="12" t="inlineStr">
        <is>
          <t>20-100</t>
        </is>
      </c>
      <c r="J83" s="12" t="inlineStr">
        <is>
          <t>shoedl@foleyhoag.com</t>
        </is>
      </c>
      <c r="K83" s="12" t="inlineStr">
        <is>
          <t>(617) 832-1000</t>
        </is>
      </c>
      <c r="L83" s="12" t="inlineStr">
        <is>
          <t>Boston, MA</t>
        </is>
      </c>
      <c r="M83" s="12" t="inlineStr">
        <is>
          <t>DOE, NYSERDA, CEC, NSF</t>
        </is>
      </c>
      <c r="N83" s="12" t="inlineStr">
        <is>
          <t>Clean Tech Startups, Utilities, Research Consortia</t>
        </is>
      </c>
      <c r="O83" s="12" t="inlineStr">
        <is>
          <t>$500M+ federal and state grant applications supported</t>
        </is>
      </c>
      <c r="P83" s="12" t="inlineStr">
        <is>
          <t>Manual FOA decomposition and multi-database research consuming 20+ hours per proposal</t>
        </is>
      </c>
      <c r="Q83" s="12" t="inlineStr">
        <is>
          <t>10-second FOA shredder, 4-part PDF blueprints, and 5-stage capital continuum ledgers</t>
        </is>
      </c>
      <c r="R83" s="12" t="inlineStr">
        <is>
          <t>3-8 seats ($2,000 - $5,000/mo)</t>
        </is>
      </c>
      <c r="S83" s="15" t="n">
        <v>6000</v>
      </c>
      <c r="T83" s="21" t="inlineStr">
        <is>
          <t>Not Contacted</t>
        </is>
      </c>
      <c r="U83" s="13" t="inlineStr"/>
      <c r="V83" s="13" t="inlineStr"/>
      <c r="W83" s="13" t="inlineStr"/>
      <c r="X83" s="13" t="inlineStr"/>
      <c r="Y83" s="22" t="inlineStr">
        <is>
          <t>Hi Seth,
Noticed Foley Hoag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3" s="12" t="inlineStr"/>
    </row>
    <row r="84">
      <c r="A84" s="23" t="n">
        <v>80</v>
      </c>
      <c r="B84" s="24" t="inlineStr">
        <is>
          <t>Kenneth Robinson</t>
        </is>
      </c>
      <c r="C84" s="25" t="inlineStr">
        <is>
          <t>Kenneth</t>
        </is>
      </c>
      <c r="D84" s="25" t="inlineStr">
        <is>
          <t>Partner, Cleantech &amp; Energy</t>
        </is>
      </c>
      <c r="E84" s="25" t="inlineStr">
        <is>
          <t>Tier 1: Senior Executive / Partner (Decision Maker)</t>
        </is>
      </c>
      <c r="F84" s="24" t="inlineStr">
        <is>
          <t>Foley Hoag LLP</t>
        </is>
      </c>
      <c r="G84" s="25" t="inlineStr">
        <is>
          <t>https://energyadvisory.com</t>
        </is>
      </c>
      <c r="H84" s="25" t="inlineStr">
        <is>
          <t>Clean Tech &amp; Energy Advisory</t>
        </is>
      </c>
      <c r="I84" s="25" t="inlineStr">
        <is>
          <t>20-100</t>
        </is>
      </c>
      <c r="J84" s="25" t="inlineStr">
        <is>
          <t>krobinson@foleyhoag.com</t>
        </is>
      </c>
      <c r="K84" s="25" t="inlineStr">
        <is>
          <t>(617) 832-1000</t>
        </is>
      </c>
      <c r="L84" s="25" t="inlineStr">
        <is>
          <t>Boston, MA</t>
        </is>
      </c>
      <c r="M84" s="25" t="inlineStr">
        <is>
          <t>DOE, NYSERDA, CEC, NSF</t>
        </is>
      </c>
      <c r="N84" s="25" t="inlineStr">
        <is>
          <t>Clean Tech Startups, Utilities, Research Consortia</t>
        </is>
      </c>
      <c r="O84" s="25" t="inlineStr">
        <is>
          <t>$500M+ federal and state grant applications supported</t>
        </is>
      </c>
      <c r="P84" s="25" t="inlineStr">
        <is>
          <t>Manual FOA decomposition and multi-database research consuming 20+ hours per proposal</t>
        </is>
      </c>
      <c r="Q84" s="25" t="inlineStr">
        <is>
          <t>10-second FOA shredder, 4-part PDF blueprints, and 5-stage capital continuum ledgers</t>
        </is>
      </c>
      <c r="R84" s="25" t="inlineStr">
        <is>
          <t>3-8 seats ($2,000 - $5,000/mo)</t>
        </is>
      </c>
      <c r="S84" s="26" t="n">
        <v>6000</v>
      </c>
      <c r="T84" s="23" t="inlineStr">
        <is>
          <t>Not Contacted</t>
        </is>
      </c>
      <c r="U84" s="27" t="inlineStr"/>
      <c r="V84" s="27" t="inlineStr"/>
      <c r="W84" s="27" t="inlineStr"/>
      <c r="X84" s="27" t="inlineStr"/>
      <c r="Y84" s="28" t="inlineStr">
        <is>
          <t>Hi Kenneth,
Noticed Foley Hoag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4" s="25" t="inlineStr"/>
    </row>
    <row r="85">
      <c r="A85" s="21" t="n">
        <v>81</v>
      </c>
      <c r="B85" s="11" t="inlineStr">
        <is>
          <t>Taite McDonald</t>
        </is>
      </c>
      <c r="C85" s="12" t="inlineStr">
        <is>
          <t>Taite</t>
        </is>
      </c>
      <c r="D85" s="12" t="inlineStr">
        <is>
          <t>Partner &amp; Head of Government Contracts / Grants</t>
        </is>
      </c>
      <c r="E85" s="12" t="inlineStr">
        <is>
          <t>Tier 1: Senior Executive / Partner (Decision Maker)</t>
        </is>
      </c>
      <c r="F85" s="11" t="inlineStr">
        <is>
          <t>Holland &amp; Knight LLP</t>
        </is>
      </c>
      <c r="G85" s="12" t="inlineStr">
        <is>
          <t>https://energyadvisory.com</t>
        </is>
      </c>
      <c r="H85" s="12" t="inlineStr">
        <is>
          <t>Clean Tech &amp; Energy Advisory</t>
        </is>
      </c>
      <c r="I85" s="12" t="inlineStr">
        <is>
          <t>20-100</t>
        </is>
      </c>
      <c r="J85" s="12" t="inlineStr">
        <is>
          <t>taite.mcdonald@hklaw.com</t>
        </is>
      </c>
      <c r="K85" s="12" t="inlineStr">
        <is>
          <t>(202) 469-5100</t>
        </is>
      </c>
      <c r="L85" s="12" t="inlineStr">
        <is>
          <t>Washington, DC</t>
        </is>
      </c>
      <c r="M85" s="12" t="inlineStr">
        <is>
          <t>DOE, NYSERDA, CEC, NSF</t>
        </is>
      </c>
      <c r="N85" s="12" t="inlineStr">
        <is>
          <t>Clean Tech Startups, Utilities, Research Consortia</t>
        </is>
      </c>
      <c r="O85" s="12" t="inlineStr">
        <is>
          <t>$500M+ federal and state grant applications supported</t>
        </is>
      </c>
      <c r="P85" s="12" t="inlineStr">
        <is>
          <t>Manual FOA decomposition and multi-database research consuming 20+ hours per proposal</t>
        </is>
      </c>
      <c r="Q85" s="12" t="inlineStr">
        <is>
          <t>10-second FOA shredder, 4-part PDF blueprints, and 5-stage capital continuum ledgers</t>
        </is>
      </c>
      <c r="R85" s="12" t="inlineStr">
        <is>
          <t>3-8 seats ($2,000 - $5,000/mo)</t>
        </is>
      </c>
      <c r="S85" s="15" t="n">
        <v>6000</v>
      </c>
      <c r="T85" s="21" t="inlineStr">
        <is>
          <t>Not Contacted</t>
        </is>
      </c>
      <c r="U85" s="13" t="inlineStr"/>
      <c r="V85" s="13" t="inlineStr"/>
      <c r="W85" s="13" t="inlineStr"/>
      <c r="X85" s="13" t="inlineStr"/>
      <c r="Y85" s="22" t="inlineStr">
        <is>
          <t>Hi Taite,
Noticed Holland &amp; Knight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5" s="12" t="inlineStr"/>
    </row>
    <row r="86">
      <c r="A86" s="23" t="n">
        <v>82</v>
      </c>
      <c r="B86" s="24" t="inlineStr">
        <is>
          <t>Anita Patel</t>
        </is>
      </c>
      <c r="C86" s="25" t="inlineStr">
        <is>
          <t>Anita</t>
        </is>
      </c>
      <c r="D86" s="25" t="inlineStr">
        <is>
          <t>Senior Counsel, Energy &amp; Clean Tech</t>
        </is>
      </c>
      <c r="E86" s="25" t="inlineStr">
        <is>
          <t>Tier 3: Senior Strategist / Proposal Lead (Power User)</t>
        </is>
      </c>
      <c r="F86" s="24" t="inlineStr">
        <is>
          <t>Holland &amp; Knight LLP</t>
        </is>
      </c>
      <c r="G86" s="25" t="inlineStr">
        <is>
          <t>https://energyadvisory.com</t>
        </is>
      </c>
      <c r="H86" s="25" t="inlineStr">
        <is>
          <t>Clean Tech &amp; Energy Advisory</t>
        </is>
      </c>
      <c r="I86" s="25" t="inlineStr">
        <is>
          <t>20-100</t>
        </is>
      </c>
      <c r="J86" s="25" t="inlineStr">
        <is>
          <t>anita.patel@hklaw.com</t>
        </is>
      </c>
      <c r="K86" s="25" t="inlineStr">
        <is>
          <t>(202) 955-3000</t>
        </is>
      </c>
      <c r="L86" s="25" t="inlineStr">
        <is>
          <t>Washington, DC</t>
        </is>
      </c>
      <c r="M86" s="25" t="inlineStr">
        <is>
          <t>DOE, NYSERDA, CEC, NSF</t>
        </is>
      </c>
      <c r="N86" s="25" t="inlineStr">
        <is>
          <t>Clean Tech Startups, Utilities, Research Consortia</t>
        </is>
      </c>
      <c r="O86" s="25" t="inlineStr">
        <is>
          <t>$500M+ federal and state grant applications supported</t>
        </is>
      </c>
      <c r="P86" s="25" t="inlineStr">
        <is>
          <t>Manual FOA decomposition and multi-database research consuming 20+ hours per proposal</t>
        </is>
      </c>
      <c r="Q86" s="25" t="inlineStr">
        <is>
          <t>10-second FOA shredder, 4-part PDF blueprints, and 5-stage capital continuum ledgers</t>
        </is>
      </c>
      <c r="R86" s="25" t="inlineStr">
        <is>
          <t>3-8 seats ($2,000 - $5,000/mo)</t>
        </is>
      </c>
      <c r="S86" s="26" t="n">
        <v>6000</v>
      </c>
      <c r="T86" s="23" t="inlineStr">
        <is>
          <t>Not Contacted</t>
        </is>
      </c>
      <c r="U86" s="27" t="inlineStr"/>
      <c r="V86" s="27" t="inlineStr"/>
      <c r="W86" s="27" t="inlineStr"/>
      <c r="X86" s="27" t="inlineStr"/>
      <c r="Y86" s="28" t="inlineStr">
        <is>
          <t>Hi Anita,
Noticed Holland &amp; Knight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6" s="25" t="inlineStr"/>
    </row>
    <row r="87">
      <c r="A87" s="21" t="n">
        <v>83</v>
      </c>
      <c r="B87" s="11" t="inlineStr">
        <is>
          <t>Doug Benevento</t>
        </is>
      </c>
      <c r="C87" s="12" t="inlineStr">
        <is>
          <t>Doug</t>
        </is>
      </c>
      <c r="D87" s="12" t="inlineStr">
        <is>
          <t>Partner, Environment &amp; Energy</t>
        </is>
      </c>
      <c r="E87" s="12" t="inlineStr">
        <is>
          <t>Tier 1: Senior Executive / Partner (Decision Maker)</t>
        </is>
      </c>
      <c r="F87" s="11" t="inlineStr">
        <is>
          <t>Holland &amp; Knight LLP</t>
        </is>
      </c>
      <c r="G87" s="12" t="inlineStr">
        <is>
          <t>https://energyadvisory.com</t>
        </is>
      </c>
      <c r="H87" s="12" t="inlineStr">
        <is>
          <t>Clean Tech &amp; Energy Advisory</t>
        </is>
      </c>
      <c r="I87" s="12" t="inlineStr">
        <is>
          <t>20-100</t>
        </is>
      </c>
      <c r="J87" s="12" t="inlineStr">
        <is>
          <t>doug.benevento@hklaw.com</t>
        </is>
      </c>
      <c r="K87" s="12" t="inlineStr">
        <is>
          <t>(303) 975-1600</t>
        </is>
      </c>
      <c r="L87" s="12" t="inlineStr">
        <is>
          <t>Denver, CO</t>
        </is>
      </c>
      <c r="M87" s="12" t="inlineStr">
        <is>
          <t>DOE, NYSERDA, CEC, NSF</t>
        </is>
      </c>
      <c r="N87" s="12" t="inlineStr">
        <is>
          <t>Clean Tech Startups, Utilities, Research Consortia</t>
        </is>
      </c>
      <c r="O87" s="12" t="inlineStr">
        <is>
          <t>$500M+ federal and state grant applications supported</t>
        </is>
      </c>
      <c r="P87" s="12" t="inlineStr">
        <is>
          <t>Manual FOA decomposition and multi-database research consuming 20+ hours per proposal</t>
        </is>
      </c>
      <c r="Q87" s="12" t="inlineStr">
        <is>
          <t>10-second FOA shredder, 4-part PDF blueprints, and 5-stage capital continuum ledgers</t>
        </is>
      </c>
      <c r="R87" s="12" t="inlineStr">
        <is>
          <t>3-8 seats ($2,000 - $5,000/mo)</t>
        </is>
      </c>
      <c r="S87" s="15" t="n">
        <v>6000</v>
      </c>
      <c r="T87" s="21" t="inlineStr">
        <is>
          <t>Not Contacted</t>
        </is>
      </c>
      <c r="U87" s="13" t="inlineStr"/>
      <c r="V87" s="13" t="inlineStr"/>
      <c r="W87" s="13" t="inlineStr"/>
      <c r="X87" s="13" t="inlineStr"/>
      <c r="Y87" s="22" t="inlineStr">
        <is>
          <t>Hi Doug,
Noticed Holland &amp; Knight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7" s="12" t="inlineStr"/>
    </row>
    <row r="88">
      <c r="A88" s="23" t="n">
        <v>84</v>
      </c>
      <c r="B88" s="24" t="inlineStr">
        <is>
          <t>Bob Szabo</t>
        </is>
      </c>
      <c r="C88" s="25" t="inlineStr">
        <is>
          <t>Bob</t>
        </is>
      </c>
      <c r="D88" s="25" t="inlineStr">
        <is>
          <t>Partner &amp; Energy Practice Co-Lead</t>
        </is>
      </c>
      <c r="E88" s="25" t="inlineStr">
        <is>
          <t>Tier 1: Senior Executive / Partner (Decision Maker)</t>
        </is>
      </c>
      <c r="F88" s="24" t="inlineStr">
        <is>
          <t>Van Ness Feldman LLP</t>
        </is>
      </c>
      <c r="G88" s="25" t="inlineStr">
        <is>
          <t>https://energyadvisory.com</t>
        </is>
      </c>
      <c r="H88" s="25" t="inlineStr">
        <is>
          <t>Clean Tech &amp; Energy Advisory</t>
        </is>
      </c>
      <c r="I88" s="25" t="inlineStr">
        <is>
          <t>20-100</t>
        </is>
      </c>
      <c r="J88" s="25" t="inlineStr">
        <is>
          <t>rgs@vnf.com</t>
        </is>
      </c>
      <c r="K88" s="25" t="inlineStr">
        <is>
          <t>(202) 298-1800</t>
        </is>
      </c>
      <c r="L88" s="25" t="inlineStr">
        <is>
          <t>Washington, DC</t>
        </is>
      </c>
      <c r="M88" s="25" t="inlineStr">
        <is>
          <t>DOE, NYSERDA, CEC, NSF</t>
        </is>
      </c>
      <c r="N88" s="25" t="inlineStr">
        <is>
          <t>Clean Tech Startups, Utilities, Research Consortia</t>
        </is>
      </c>
      <c r="O88" s="25" t="inlineStr">
        <is>
          <t>$500M+ federal and state grant applications supported</t>
        </is>
      </c>
      <c r="P88" s="25" t="inlineStr">
        <is>
          <t>Manual FOA decomposition and multi-database research consuming 20+ hours per proposal</t>
        </is>
      </c>
      <c r="Q88" s="25" t="inlineStr">
        <is>
          <t>10-second FOA shredder, 4-part PDF blueprints, and 5-stage capital continuum ledgers</t>
        </is>
      </c>
      <c r="R88" s="25" t="inlineStr">
        <is>
          <t>3-8 seats ($2,000 - $5,000/mo)</t>
        </is>
      </c>
      <c r="S88" s="26" t="n">
        <v>6000</v>
      </c>
      <c r="T88" s="23" t="inlineStr">
        <is>
          <t>Not Contacted</t>
        </is>
      </c>
      <c r="U88" s="27" t="inlineStr"/>
      <c r="V88" s="27" t="inlineStr"/>
      <c r="W88" s="27" t="inlineStr"/>
      <c r="X88" s="27" t="inlineStr"/>
      <c r="Y88" s="28" t="inlineStr">
        <is>
          <t>Hi Bob,
Noticed Van Ness Feldman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8" s="25" t="inlineStr"/>
    </row>
    <row r="89">
      <c r="A89" s="21" t="n">
        <v>85</v>
      </c>
      <c r="B89" s="11" t="inlineStr">
        <is>
          <t>Tanner Johnson</t>
        </is>
      </c>
      <c r="C89" s="12" t="inlineStr">
        <is>
          <t>Tanner</t>
        </is>
      </c>
      <c r="D89" s="12" t="inlineStr">
        <is>
          <t>Senior Policy Advisor</t>
        </is>
      </c>
      <c r="E89" s="12" t="inlineStr">
        <is>
          <t>Tier 3: Senior Strategist / Proposal Lead (Power User)</t>
        </is>
      </c>
      <c r="F89" s="11" t="inlineStr">
        <is>
          <t>Van Ness Feldman LLP</t>
        </is>
      </c>
      <c r="G89" s="12" t="inlineStr">
        <is>
          <t>https://energyadvisory.com</t>
        </is>
      </c>
      <c r="H89" s="12" t="inlineStr">
        <is>
          <t>Clean Tech &amp; Energy Advisory</t>
        </is>
      </c>
      <c r="I89" s="12" t="inlineStr">
        <is>
          <t>20-100</t>
        </is>
      </c>
      <c r="J89" s="12" t="inlineStr">
        <is>
          <t>tjj@vnf.com</t>
        </is>
      </c>
      <c r="K89" s="12" t="inlineStr">
        <is>
          <t>(202) 298-1800</t>
        </is>
      </c>
      <c r="L89" s="12" t="inlineStr">
        <is>
          <t>Washington, DC</t>
        </is>
      </c>
      <c r="M89" s="12" t="inlineStr">
        <is>
          <t>DOE, NYSERDA, CEC, NSF</t>
        </is>
      </c>
      <c r="N89" s="12" t="inlineStr">
        <is>
          <t>Clean Tech Startups, Utilities, Research Consortia</t>
        </is>
      </c>
      <c r="O89" s="12" t="inlineStr">
        <is>
          <t>$500M+ federal and state grant applications supported</t>
        </is>
      </c>
      <c r="P89" s="12" t="inlineStr">
        <is>
          <t>Manual FOA decomposition and multi-database research consuming 20+ hours per proposal</t>
        </is>
      </c>
      <c r="Q89" s="12" t="inlineStr">
        <is>
          <t>10-second FOA shredder, 4-part PDF blueprints, and 5-stage capital continuum ledgers</t>
        </is>
      </c>
      <c r="R89" s="12" t="inlineStr">
        <is>
          <t>3-8 seats ($2,000 - $5,000/mo)</t>
        </is>
      </c>
      <c r="S89" s="15" t="n">
        <v>6000</v>
      </c>
      <c r="T89" s="21" t="inlineStr">
        <is>
          <t>Not Contacted</t>
        </is>
      </c>
      <c r="U89" s="13" t="inlineStr"/>
      <c r="V89" s="13" t="inlineStr"/>
      <c r="W89" s="13" t="inlineStr"/>
      <c r="X89" s="13" t="inlineStr"/>
      <c r="Y89" s="22" t="inlineStr">
        <is>
          <t>Hi Tanner,
Noticed Van Ness Feldman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9" s="12" t="inlineStr"/>
    </row>
    <row r="90">
      <c r="A90" s="23" t="n">
        <v>86</v>
      </c>
      <c r="B90" s="24" t="inlineStr">
        <is>
          <t>Paul Kjellander</t>
        </is>
      </c>
      <c r="C90" s="25" t="inlineStr">
        <is>
          <t>Paul</t>
        </is>
      </c>
      <c r="D90" s="25" t="inlineStr">
        <is>
          <t>Senior Advisor, Energy</t>
        </is>
      </c>
      <c r="E90" s="25" t="inlineStr">
        <is>
          <t>Tier 3: Senior Strategist / Proposal Lead (Power User)</t>
        </is>
      </c>
      <c r="F90" s="24" t="inlineStr">
        <is>
          <t>Van Ness Feldman LLP</t>
        </is>
      </c>
      <c r="G90" s="25" t="inlineStr">
        <is>
          <t>https://energyadvisory.com</t>
        </is>
      </c>
      <c r="H90" s="25" t="inlineStr">
        <is>
          <t>Clean Tech &amp; Energy Advisory</t>
        </is>
      </c>
      <c r="I90" s="25" t="inlineStr">
        <is>
          <t>20-100</t>
        </is>
      </c>
      <c r="J90" s="25" t="inlineStr">
        <is>
          <t>pkjellander@vnf.com</t>
        </is>
      </c>
      <c r="K90" s="25" t="inlineStr">
        <is>
          <t>(202) 298-1800</t>
        </is>
      </c>
      <c r="L90" s="25" t="inlineStr">
        <is>
          <t>Washington, DC</t>
        </is>
      </c>
      <c r="M90" s="25" t="inlineStr">
        <is>
          <t>DOE, NYSERDA, CEC, NSF</t>
        </is>
      </c>
      <c r="N90" s="25" t="inlineStr">
        <is>
          <t>Clean Tech Startups, Utilities, Research Consortia</t>
        </is>
      </c>
      <c r="O90" s="25" t="inlineStr">
        <is>
          <t>$500M+ federal and state grant applications supported</t>
        </is>
      </c>
      <c r="P90" s="25" t="inlineStr">
        <is>
          <t>Manual FOA decomposition and multi-database research consuming 20+ hours per proposal</t>
        </is>
      </c>
      <c r="Q90" s="25" t="inlineStr">
        <is>
          <t>10-second FOA shredder, 4-part PDF blueprints, and 5-stage capital continuum ledgers</t>
        </is>
      </c>
      <c r="R90" s="25" t="inlineStr">
        <is>
          <t>3-8 seats ($2,000 - $5,000/mo)</t>
        </is>
      </c>
      <c r="S90" s="26" t="n">
        <v>6000</v>
      </c>
      <c r="T90" s="23" t="inlineStr">
        <is>
          <t>Not Contacted</t>
        </is>
      </c>
      <c r="U90" s="27" t="inlineStr"/>
      <c r="V90" s="27" t="inlineStr"/>
      <c r="W90" s="27" t="inlineStr"/>
      <c r="X90" s="27" t="inlineStr"/>
      <c r="Y90" s="28" t="inlineStr">
        <is>
          <t>Hi Paul,
Noticed Van Ness Feldman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0" s="25" t="inlineStr"/>
    </row>
    <row r="91">
      <c r="A91" s="21" t="n">
        <v>87</v>
      </c>
      <c r="B91" s="11" t="inlineStr">
        <is>
          <t>Arthur Mason</t>
        </is>
      </c>
      <c r="C91" s="12" t="inlineStr">
        <is>
          <t>Arthur</t>
        </is>
      </c>
      <c r="D91" s="12" t="inlineStr">
        <is>
          <t>Co-Chair, Energy &amp; Environment</t>
        </is>
      </c>
      <c r="E91" s="12" t="inlineStr">
        <is>
          <t>Tier 3: Senior Strategist / Proposal Lead (Power User)</t>
        </is>
      </c>
      <c r="F91" s="11" t="inlineStr">
        <is>
          <t>Cassidy &amp; Associates</t>
        </is>
      </c>
      <c r="G91" s="12" t="inlineStr">
        <is>
          <t>https://energyadvisory.com</t>
        </is>
      </c>
      <c r="H91" s="12" t="inlineStr">
        <is>
          <t>Clean Tech &amp; Energy Advisory</t>
        </is>
      </c>
      <c r="I91" s="12" t="inlineStr">
        <is>
          <t>20-100</t>
        </is>
      </c>
      <c r="J91" s="12" t="inlineStr">
        <is>
          <t>amason@cassidy.com</t>
        </is>
      </c>
      <c r="K91" s="12" t="inlineStr">
        <is>
          <t>(202) 347-0773</t>
        </is>
      </c>
      <c r="L91" s="12" t="inlineStr">
        <is>
          <t>Washington, DC</t>
        </is>
      </c>
      <c r="M91" s="12" t="inlineStr">
        <is>
          <t>DOE, NYSERDA, CEC, NSF</t>
        </is>
      </c>
      <c r="N91" s="12" t="inlineStr">
        <is>
          <t>Clean Tech Startups, Utilities, Research Consortia</t>
        </is>
      </c>
      <c r="O91" s="12" t="inlineStr">
        <is>
          <t>$500M+ federal and state grant applications supported</t>
        </is>
      </c>
      <c r="P91" s="12" t="inlineStr">
        <is>
          <t>Manual FOA decomposition and multi-database research consuming 20+ hours per proposal</t>
        </is>
      </c>
      <c r="Q91" s="12" t="inlineStr">
        <is>
          <t>10-second FOA shredder, 4-part PDF blueprints, and 5-stage capital continuum ledgers</t>
        </is>
      </c>
      <c r="R91" s="12" t="inlineStr">
        <is>
          <t>3-8 seats ($2,000 - $5,000/mo)</t>
        </is>
      </c>
      <c r="S91" s="15" t="n">
        <v>6000</v>
      </c>
      <c r="T91" s="21" t="inlineStr">
        <is>
          <t>Not Contacted</t>
        </is>
      </c>
      <c r="U91" s="13" t="inlineStr"/>
      <c r="V91" s="13" t="inlineStr"/>
      <c r="W91" s="13" t="inlineStr"/>
      <c r="X91" s="13" t="inlineStr"/>
      <c r="Y91" s="22" t="inlineStr">
        <is>
          <t>Hi Arthur,
Noticed Cassidy &amp; Associates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1" s="12" t="inlineStr"/>
    </row>
    <row r="92">
      <c r="A92" s="23" t="n">
        <v>88</v>
      </c>
      <c r="B92" s="24" t="inlineStr">
        <is>
          <t>Russ Thomasson</t>
        </is>
      </c>
      <c r="C92" s="25" t="inlineStr">
        <is>
          <t>Russ</t>
        </is>
      </c>
      <c r="D92" s="25" t="inlineStr">
        <is>
          <t>Partner, Energy Practice</t>
        </is>
      </c>
      <c r="E92" s="25" t="inlineStr">
        <is>
          <t>Tier 1: Senior Executive / Partner (Decision Maker)</t>
        </is>
      </c>
      <c r="F92" s="24" t="inlineStr">
        <is>
          <t>Cassidy &amp; Associates</t>
        </is>
      </c>
      <c r="G92" s="25" t="inlineStr">
        <is>
          <t>https://energyadvisory.com</t>
        </is>
      </c>
      <c r="H92" s="25" t="inlineStr">
        <is>
          <t>Clean Tech &amp; Energy Advisory</t>
        </is>
      </c>
      <c r="I92" s="25" t="inlineStr">
        <is>
          <t>20-100</t>
        </is>
      </c>
      <c r="J92" s="25" t="inlineStr">
        <is>
          <t>rthomasson@cassidy.com</t>
        </is>
      </c>
      <c r="K92" s="25" t="inlineStr">
        <is>
          <t>(202) 347-0773</t>
        </is>
      </c>
      <c r="L92" s="25" t="inlineStr">
        <is>
          <t>Washington, DC</t>
        </is>
      </c>
      <c r="M92" s="25" t="inlineStr">
        <is>
          <t>DOE, NYSERDA, CEC, NSF</t>
        </is>
      </c>
      <c r="N92" s="25" t="inlineStr">
        <is>
          <t>Clean Tech Startups, Utilities, Research Consortia</t>
        </is>
      </c>
      <c r="O92" s="25" t="inlineStr">
        <is>
          <t>$500M+ federal and state grant applications supported</t>
        </is>
      </c>
      <c r="P92" s="25" t="inlineStr">
        <is>
          <t>Manual FOA decomposition and multi-database research consuming 20+ hours per proposal</t>
        </is>
      </c>
      <c r="Q92" s="25" t="inlineStr">
        <is>
          <t>10-second FOA shredder, 4-part PDF blueprints, and 5-stage capital continuum ledgers</t>
        </is>
      </c>
      <c r="R92" s="25" t="inlineStr">
        <is>
          <t>3-8 seats ($2,000 - $5,000/mo)</t>
        </is>
      </c>
      <c r="S92" s="26" t="n">
        <v>6000</v>
      </c>
      <c r="T92" s="23" t="inlineStr">
        <is>
          <t>Not Contacted</t>
        </is>
      </c>
      <c r="U92" s="27" t="inlineStr"/>
      <c r="V92" s="27" t="inlineStr"/>
      <c r="W92" s="27" t="inlineStr"/>
      <c r="X92" s="27" t="inlineStr"/>
      <c r="Y92" s="28" t="inlineStr">
        <is>
          <t>Hi Russ,
Noticed Cassidy &amp; Associates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2" s="25" t="inlineStr"/>
    </row>
    <row r="93">
      <c r="A93" s="21" t="n">
        <v>89</v>
      </c>
      <c r="B93" s="11" t="inlineStr">
        <is>
          <t>Mark Rey</t>
        </is>
      </c>
      <c r="C93" s="12" t="inlineStr">
        <is>
          <t>Mark</t>
        </is>
      </c>
      <c r="D93" s="12" t="inlineStr">
        <is>
          <t>Senior Advisor, Natural Resources</t>
        </is>
      </c>
      <c r="E93" s="12" t="inlineStr">
        <is>
          <t>Tier 3: Senior Strategist / Proposal Lead (Power User)</t>
        </is>
      </c>
      <c r="F93" s="11" t="inlineStr">
        <is>
          <t>Cassidy &amp; Associates</t>
        </is>
      </c>
      <c r="G93" s="12" t="inlineStr">
        <is>
          <t>https://energyadvisory.com</t>
        </is>
      </c>
      <c r="H93" s="12" t="inlineStr">
        <is>
          <t>Clean Tech &amp; Energy Advisory</t>
        </is>
      </c>
      <c r="I93" s="12" t="inlineStr">
        <is>
          <t>20-100</t>
        </is>
      </c>
      <c r="J93" s="12" t="inlineStr">
        <is>
          <t>mrey@cassidy.com</t>
        </is>
      </c>
      <c r="K93" s="12" t="inlineStr">
        <is>
          <t>(202) 347-0773</t>
        </is>
      </c>
      <c r="L93" s="12" t="inlineStr">
        <is>
          <t>Washington, DC</t>
        </is>
      </c>
      <c r="M93" s="12" t="inlineStr">
        <is>
          <t>DOE, NYSERDA, CEC, NSF</t>
        </is>
      </c>
      <c r="N93" s="12" t="inlineStr">
        <is>
          <t>Clean Tech Startups, Utilities, Research Consortia</t>
        </is>
      </c>
      <c r="O93" s="12" t="inlineStr">
        <is>
          <t>$500M+ federal and state grant applications supported</t>
        </is>
      </c>
      <c r="P93" s="12" t="inlineStr">
        <is>
          <t>Manual FOA decomposition and multi-database research consuming 20+ hours per proposal</t>
        </is>
      </c>
      <c r="Q93" s="12" t="inlineStr">
        <is>
          <t>10-second FOA shredder, 4-part PDF blueprints, and 5-stage capital continuum ledgers</t>
        </is>
      </c>
      <c r="R93" s="12" t="inlineStr">
        <is>
          <t>3-8 seats ($2,000 - $5,000/mo)</t>
        </is>
      </c>
      <c r="S93" s="15" t="n">
        <v>6000</v>
      </c>
      <c r="T93" s="21" t="inlineStr">
        <is>
          <t>Not Contacted</t>
        </is>
      </c>
      <c r="U93" s="13" t="inlineStr"/>
      <c r="V93" s="13" t="inlineStr"/>
      <c r="W93" s="13" t="inlineStr"/>
      <c r="X93" s="13" t="inlineStr"/>
      <c r="Y93" s="22" t="inlineStr">
        <is>
          <t>Hi Mark,
Noticed Cassidy &amp; Associates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3" s="12" t="inlineStr"/>
    </row>
    <row r="94">
      <c r="A94" s="23" t="n">
        <v>90</v>
      </c>
      <c r="B94" s="24" t="inlineStr">
        <is>
          <t>Campbell Kaufman</t>
        </is>
      </c>
      <c r="C94" s="25" t="inlineStr">
        <is>
          <t>Campbell</t>
        </is>
      </c>
      <c r="D94" s="25" t="inlineStr">
        <is>
          <t>Managing Director</t>
        </is>
      </c>
      <c r="E94" s="25" t="inlineStr">
        <is>
          <t>Tier 1: Senior Executive / Partner (Decision Maker)</t>
        </is>
      </c>
      <c r="F94" s="24" t="inlineStr">
        <is>
          <t>Cornerstone Government Affairs</t>
        </is>
      </c>
      <c r="G94" s="25" t="inlineStr">
        <is>
          <t>https://energyadvisory.com</t>
        </is>
      </c>
      <c r="H94" s="25" t="inlineStr">
        <is>
          <t>Clean Tech &amp; Energy Advisory</t>
        </is>
      </c>
      <c r="I94" s="25" t="inlineStr">
        <is>
          <t>20-100</t>
        </is>
      </c>
      <c r="J94" s="25" t="inlineStr">
        <is>
          <t>ckaufman@cgagroup.com</t>
        </is>
      </c>
      <c r="K94" s="25" t="inlineStr">
        <is>
          <t>(202) 448-9500</t>
        </is>
      </c>
      <c r="L94" s="25" t="inlineStr">
        <is>
          <t>Washington, DC</t>
        </is>
      </c>
      <c r="M94" s="25" t="inlineStr">
        <is>
          <t>DOE, NYSERDA, CEC, NSF</t>
        </is>
      </c>
      <c r="N94" s="25" t="inlineStr">
        <is>
          <t>Clean Tech Startups, Utilities, Research Consortia</t>
        </is>
      </c>
      <c r="O94" s="25" t="inlineStr">
        <is>
          <t>$500M+ federal and state grant applications supported</t>
        </is>
      </c>
      <c r="P94" s="25" t="inlineStr">
        <is>
          <t>Manual FOA decomposition and multi-database research consuming 20+ hours per proposal</t>
        </is>
      </c>
      <c r="Q94" s="25" t="inlineStr">
        <is>
          <t>10-second FOA shredder, 4-part PDF blueprints, and 5-stage capital continuum ledgers</t>
        </is>
      </c>
      <c r="R94" s="25" t="inlineStr">
        <is>
          <t>3-8 seats ($2,000 - $5,000/mo)</t>
        </is>
      </c>
      <c r="S94" s="26" t="n">
        <v>6000</v>
      </c>
      <c r="T94" s="23" t="inlineStr">
        <is>
          <t>Not Contacted</t>
        </is>
      </c>
      <c r="U94" s="27" t="inlineStr"/>
      <c r="V94" s="27" t="inlineStr"/>
      <c r="W94" s="27" t="inlineStr"/>
      <c r="X94" s="27" t="inlineStr"/>
      <c r="Y94" s="28" t="inlineStr">
        <is>
          <t>Hi Campbell,
Noticed Cornerstone Government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4" s="25" t="inlineStr"/>
    </row>
    <row r="95">
      <c r="A95" s="21" t="n">
        <v>91</v>
      </c>
      <c r="B95" s="11" t="inlineStr">
        <is>
          <t>Stacy Rich</t>
        </is>
      </c>
      <c r="C95" s="12" t="inlineStr">
        <is>
          <t>Stacy</t>
        </is>
      </c>
      <c r="D95" s="12" t="inlineStr">
        <is>
          <t>Vice President, Clean Tech</t>
        </is>
      </c>
      <c r="E95" s="12" t="inlineStr">
        <is>
          <t>Tier 1: Senior Executive / Partner (Decision Maker)</t>
        </is>
      </c>
      <c r="F95" s="11" t="inlineStr">
        <is>
          <t>Cornerstone Government Affairs</t>
        </is>
      </c>
      <c r="G95" s="12" t="inlineStr">
        <is>
          <t>https://energyadvisory.com</t>
        </is>
      </c>
      <c r="H95" s="12" t="inlineStr">
        <is>
          <t>Clean Tech &amp; Energy Advisory</t>
        </is>
      </c>
      <c r="I95" s="12" t="inlineStr">
        <is>
          <t>20-100</t>
        </is>
      </c>
      <c r="J95" s="12" t="inlineStr">
        <is>
          <t>srich@cgagroup.com</t>
        </is>
      </c>
      <c r="K95" s="12" t="inlineStr">
        <is>
          <t>(202) 448-9500</t>
        </is>
      </c>
      <c r="L95" s="12" t="inlineStr">
        <is>
          <t>Washington, DC</t>
        </is>
      </c>
      <c r="M95" s="12" t="inlineStr">
        <is>
          <t>DOE, NYSERDA, CEC, NSF</t>
        </is>
      </c>
      <c r="N95" s="12" t="inlineStr">
        <is>
          <t>Clean Tech Startups, Utilities, Research Consortia</t>
        </is>
      </c>
      <c r="O95" s="12" t="inlineStr">
        <is>
          <t>$500M+ federal and state grant applications supported</t>
        </is>
      </c>
      <c r="P95" s="12" t="inlineStr">
        <is>
          <t>Manual FOA decomposition and multi-database research consuming 20+ hours per proposal</t>
        </is>
      </c>
      <c r="Q95" s="12" t="inlineStr">
        <is>
          <t>10-second FOA shredder, 4-part PDF blueprints, and 5-stage capital continuum ledgers</t>
        </is>
      </c>
      <c r="R95" s="12" t="inlineStr">
        <is>
          <t>3-8 seats ($2,000 - $5,000/mo)</t>
        </is>
      </c>
      <c r="S95" s="15" t="n">
        <v>6000</v>
      </c>
      <c r="T95" s="21" t="inlineStr">
        <is>
          <t>Not Contacted</t>
        </is>
      </c>
      <c r="U95" s="13" t="inlineStr"/>
      <c r="V95" s="13" t="inlineStr"/>
      <c r="W95" s="13" t="inlineStr"/>
      <c r="X95" s="13" t="inlineStr"/>
      <c r="Y95" s="22" t="inlineStr">
        <is>
          <t>Hi Stacy,
Noticed Cornerstone Government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5" s="12" t="inlineStr"/>
    </row>
    <row r="96">
      <c r="A96" s="23" t="n">
        <v>92</v>
      </c>
      <c r="B96" s="24" t="inlineStr">
        <is>
          <t>Todd Webster</t>
        </is>
      </c>
      <c r="C96" s="25" t="inlineStr">
        <is>
          <t>Todd</t>
        </is>
      </c>
      <c r="D96" s="25" t="inlineStr">
        <is>
          <t>Senior VP, Energy Policy</t>
        </is>
      </c>
      <c r="E96" s="25" t="inlineStr">
        <is>
          <t>Tier 2: Practice Leader / Director (Budget Approver)</t>
        </is>
      </c>
      <c r="F96" s="24" t="inlineStr">
        <is>
          <t>Cornerstone Government Affairs</t>
        </is>
      </c>
      <c r="G96" s="25" t="inlineStr">
        <is>
          <t>https://energyadvisory.com</t>
        </is>
      </c>
      <c r="H96" s="25" t="inlineStr">
        <is>
          <t>Clean Tech &amp; Energy Advisory</t>
        </is>
      </c>
      <c r="I96" s="25" t="inlineStr">
        <is>
          <t>20-100</t>
        </is>
      </c>
      <c r="J96" s="25" t="inlineStr">
        <is>
          <t>twebster@cgagroup.com</t>
        </is>
      </c>
      <c r="K96" s="25" t="inlineStr">
        <is>
          <t>(202) 448-9500</t>
        </is>
      </c>
      <c r="L96" s="25" t="inlineStr">
        <is>
          <t>Washington, DC</t>
        </is>
      </c>
      <c r="M96" s="25" t="inlineStr">
        <is>
          <t>DOE, NYSERDA, CEC, NSF</t>
        </is>
      </c>
      <c r="N96" s="25" t="inlineStr">
        <is>
          <t>Clean Tech Startups, Utilities, Research Consortia</t>
        </is>
      </c>
      <c r="O96" s="25" t="inlineStr">
        <is>
          <t>$500M+ federal and state grant applications supported</t>
        </is>
      </c>
      <c r="P96" s="25" t="inlineStr">
        <is>
          <t>Manual FOA decomposition and multi-database research consuming 20+ hours per proposal</t>
        </is>
      </c>
      <c r="Q96" s="25" t="inlineStr">
        <is>
          <t>10-second FOA shredder, 4-part PDF blueprints, and 5-stage capital continuum ledgers</t>
        </is>
      </c>
      <c r="R96" s="25" t="inlineStr">
        <is>
          <t>3-8 seats ($2,000 - $5,000/mo)</t>
        </is>
      </c>
      <c r="S96" s="26" t="n">
        <v>6000</v>
      </c>
      <c r="T96" s="23" t="inlineStr">
        <is>
          <t>Not Contacted</t>
        </is>
      </c>
      <c r="U96" s="27" t="inlineStr"/>
      <c r="V96" s="27" t="inlineStr"/>
      <c r="W96" s="27" t="inlineStr"/>
      <c r="X96" s="27" t="inlineStr"/>
      <c r="Y96" s="28" t="inlineStr">
        <is>
          <t>Hi Todd,
Noticed Cornerstone Government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6" s="25" t="inlineStr"/>
    </row>
    <row r="97">
      <c r="A97" s="21" t="n">
        <v>93</v>
      </c>
      <c r="B97" s="11" t="inlineStr">
        <is>
          <t>Bill Viney</t>
        </is>
      </c>
      <c r="C97" s="12" t="inlineStr">
        <is>
          <t>Bill</t>
        </is>
      </c>
      <c r="D97" s="12" t="inlineStr">
        <is>
          <t>Head of Energy Practice</t>
        </is>
      </c>
      <c r="E97" s="12" t="inlineStr">
        <is>
          <t>Tier 2: Practice Leader / Director (Budget Approver)</t>
        </is>
      </c>
      <c r="F97" s="11" t="inlineStr">
        <is>
          <t>BGR Group</t>
        </is>
      </c>
      <c r="G97" s="12" t="inlineStr">
        <is>
          <t>https://energyadvisory.com</t>
        </is>
      </c>
      <c r="H97" s="12" t="inlineStr">
        <is>
          <t>Clean Tech &amp; Energy Advisory</t>
        </is>
      </c>
      <c r="I97" s="12" t="inlineStr">
        <is>
          <t>20-100</t>
        </is>
      </c>
      <c r="J97" s="12" t="inlineStr">
        <is>
          <t>bviney@bgrdc.com</t>
        </is>
      </c>
      <c r="K97" s="12" t="inlineStr">
        <is>
          <t>(202) 333-4936</t>
        </is>
      </c>
      <c r="L97" s="12" t="inlineStr">
        <is>
          <t>Washington, DC</t>
        </is>
      </c>
      <c r="M97" s="12" t="inlineStr">
        <is>
          <t>DOE, NYSERDA, CEC, NSF</t>
        </is>
      </c>
      <c r="N97" s="12" t="inlineStr">
        <is>
          <t>Clean Tech Startups, Utilities, Research Consortia</t>
        </is>
      </c>
      <c r="O97" s="12" t="inlineStr">
        <is>
          <t>$500M+ federal and state grant applications supported</t>
        </is>
      </c>
      <c r="P97" s="12" t="inlineStr">
        <is>
          <t>Manual FOA decomposition and multi-database research consuming 20+ hours per proposal</t>
        </is>
      </c>
      <c r="Q97" s="12" t="inlineStr">
        <is>
          <t>10-second FOA shredder, 4-part PDF blueprints, and 5-stage capital continuum ledgers</t>
        </is>
      </c>
      <c r="R97" s="12" t="inlineStr">
        <is>
          <t>3-8 seats ($2,000 - $5,000/mo)</t>
        </is>
      </c>
      <c r="S97" s="15" t="n">
        <v>6000</v>
      </c>
      <c r="T97" s="21" t="inlineStr">
        <is>
          <t>Not Contacted</t>
        </is>
      </c>
      <c r="U97" s="13" t="inlineStr"/>
      <c r="V97" s="13" t="inlineStr"/>
      <c r="W97" s="13" t="inlineStr"/>
      <c r="X97" s="13" t="inlineStr"/>
      <c r="Y97" s="22" t="inlineStr">
        <is>
          <t>Hi Bill,
Noticed BGR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7" s="12" t="inlineStr"/>
    </row>
    <row r="98">
      <c r="A98" s="23" t="n">
        <v>94</v>
      </c>
      <c r="B98" s="24" t="inlineStr">
        <is>
          <t>Jennifer Lukawski</t>
        </is>
      </c>
      <c r="C98" s="25" t="inlineStr">
        <is>
          <t>Jennifer</t>
        </is>
      </c>
      <c r="D98" s="25" t="inlineStr">
        <is>
          <t>Partner, Energy &amp; Commerce</t>
        </is>
      </c>
      <c r="E98" s="25" t="inlineStr">
        <is>
          <t>Tier 1: Senior Executive / Partner (Decision Maker)</t>
        </is>
      </c>
      <c r="F98" s="24" t="inlineStr">
        <is>
          <t>BGR Group</t>
        </is>
      </c>
      <c r="G98" s="25" t="inlineStr">
        <is>
          <t>https://energyadvisory.com</t>
        </is>
      </c>
      <c r="H98" s="25" t="inlineStr">
        <is>
          <t>Clean Tech &amp; Energy Advisory</t>
        </is>
      </c>
      <c r="I98" s="25" t="inlineStr">
        <is>
          <t>20-100</t>
        </is>
      </c>
      <c r="J98" s="25" t="inlineStr">
        <is>
          <t>jlukawski@bgrdc.com</t>
        </is>
      </c>
      <c r="K98" s="25" t="inlineStr">
        <is>
          <t>(202) 333-4936</t>
        </is>
      </c>
      <c r="L98" s="25" t="inlineStr">
        <is>
          <t>Washington, DC</t>
        </is>
      </c>
      <c r="M98" s="25" t="inlineStr">
        <is>
          <t>DOE, NYSERDA, CEC, NSF</t>
        </is>
      </c>
      <c r="N98" s="25" t="inlineStr">
        <is>
          <t>Clean Tech Startups, Utilities, Research Consortia</t>
        </is>
      </c>
      <c r="O98" s="25" t="inlineStr">
        <is>
          <t>$500M+ federal and state grant applications supported</t>
        </is>
      </c>
      <c r="P98" s="25" t="inlineStr">
        <is>
          <t>Manual FOA decomposition and multi-database research consuming 20+ hours per proposal</t>
        </is>
      </c>
      <c r="Q98" s="25" t="inlineStr">
        <is>
          <t>10-second FOA shredder, 4-part PDF blueprints, and 5-stage capital continuum ledgers</t>
        </is>
      </c>
      <c r="R98" s="25" t="inlineStr">
        <is>
          <t>3-8 seats ($2,000 - $5,000/mo)</t>
        </is>
      </c>
      <c r="S98" s="26" t="n">
        <v>6000</v>
      </c>
      <c r="T98" s="23" t="inlineStr">
        <is>
          <t>Not Contacted</t>
        </is>
      </c>
      <c r="U98" s="27" t="inlineStr"/>
      <c r="V98" s="27" t="inlineStr"/>
      <c r="W98" s="27" t="inlineStr"/>
      <c r="X98" s="27" t="inlineStr"/>
      <c r="Y98" s="28" t="inlineStr">
        <is>
          <t>Hi Jennifer,
Noticed BGR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8" s="25" t="inlineStr"/>
    </row>
    <row r="99">
      <c r="A99" s="21" t="n">
        <v>95</v>
      </c>
      <c r="B99" s="11" t="inlineStr">
        <is>
          <t>David Gross</t>
        </is>
      </c>
      <c r="C99" s="12" t="inlineStr">
        <is>
          <t>David</t>
        </is>
      </c>
      <c r="D99" s="12" t="inlineStr">
        <is>
          <t>Executive VP, Energy Practice</t>
        </is>
      </c>
      <c r="E99" s="12" t="inlineStr">
        <is>
          <t>Tier 2: Practice Leader / Director (Budget Approver)</t>
        </is>
      </c>
      <c r="F99" s="11" t="inlineStr">
        <is>
          <t>ML Strategies LLC</t>
        </is>
      </c>
      <c r="G99" s="12" t="inlineStr">
        <is>
          <t>https://energyadvisory.com</t>
        </is>
      </c>
      <c r="H99" s="12" t="inlineStr">
        <is>
          <t>Clean Tech &amp; Energy Advisory</t>
        </is>
      </c>
      <c r="I99" s="12" t="inlineStr">
        <is>
          <t>20-100</t>
        </is>
      </c>
      <c r="J99" s="12" t="inlineStr">
        <is>
          <t>dgross@mlstrategies.com</t>
        </is>
      </c>
      <c r="K99" s="12" t="inlineStr">
        <is>
          <t>(202) 434-7300</t>
        </is>
      </c>
      <c r="L99" s="12" t="inlineStr">
        <is>
          <t>Washington, DC</t>
        </is>
      </c>
      <c r="M99" s="12" t="inlineStr">
        <is>
          <t>DOE, NYSERDA, CEC, NSF</t>
        </is>
      </c>
      <c r="N99" s="12" t="inlineStr">
        <is>
          <t>Clean Tech Startups, Utilities, Research Consortia</t>
        </is>
      </c>
      <c r="O99" s="12" t="inlineStr">
        <is>
          <t>$500M+ federal and state grant applications supported</t>
        </is>
      </c>
      <c r="P99" s="12" t="inlineStr">
        <is>
          <t>Manual FOA decomposition and multi-database research consuming 20+ hours per proposal</t>
        </is>
      </c>
      <c r="Q99" s="12" t="inlineStr">
        <is>
          <t>10-second FOA shredder, 4-part PDF blueprints, and 5-stage capital continuum ledgers</t>
        </is>
      </c>
      <c r="R99" s="12" t="inlineStr">
        <is>
          <t>3-8 seats ($2,000 - $5,000/mo)</t>
        </is>
      </c>
      <c r="S99" s="15" t="n">
        <v>6000</v>
      </c>
      <c r="T99" s="21" t="inlineStr">
        <is>
          <t>Not Contacted</t>
        </is>
      </c>
      <c r="U99" s="13" t="inlineStr"/>
      <c r="V99" s="13" t="inlineStr"/>
      <c r="W99" s="13" t="inlineStr"/>
      <c r="X99" s="13" t="inlineStr"/>
      <c r="Y99" s="22" t="inlineStr">
        <is>
          <t>Hi David,
Noticed ML Strategies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9" s="12" t="inlineStr"/>
    </row>
    <row r="100">
      <c r="A100" s="23" t="n">
        <v>96</v>
      </c>
      <c r="B100" s="24" t="inlineStr">
        <is>
          <t>Neal Martin</t>
        </is>
      </c>
      <c r="C100" s="25" t="inlineStr">
        <is>
          <t>Neal</t>
        </is>
      </c>
      <c r="D100" s="25" t="inlineStr">
        <is>
          <t>Senior Director of Government Relations</t>
        </is>
      </c>
      <c r="E100" s="25" t="inlineStr">
        <is>
          <t>Tier 2: Practice Leader / Director (Budget Approver)</t>
        </is>
      </c>
      <c r="F100" s="24" t="inlineStr">
        <is>
          <t>ML Strategies LLC</t>
        </is>
      </c>
      <c r="G100" s="25" t="inlineStr">
        <is>
          <t>https://energyadvisory.com</t>
        </is>
      </c>
      <c r="H100" s="25" t="inlineStr">
        <is>
          <t>Clean Tech &amp; Energy Advisory</t>
        </is>
      </c>
      <c r="I100" s="25" t="inlineStr">
        <is>
          <t>20-100</t>
        </is>
      </c>
      <c r="J100" s="25" t="inlineStr">
        <is>
          <t>nmartin@mlstrategies.com</t>
        </is>
      </c>
      <c r="K100" s="25" t="inlineStr">
        <is>
          <t>(202) 434-7300</t>
        </is>
      </c>
      <c r="L100" s="25" t="inlineStr">
        <is>
          <t>Washington, DC</t>
        </is>
      </c>
      <c r="M100" s="25" t="inlineStr">
        <is>
          <t>DOE, NYSERDA, CEC, NSF</t>
        </is>
      </c>
      <c r="N100" s="25" t="inlineStr">
        <is>
          <t>Clean Tech Startups, Utilities, Research Consortia</t>
        </is>
      </c>
      <c r="O100" s="25" t="inlineStr">
        <is>
          <t>$500M+ federal and state grant applications supported</t>
        </is>
      </c>
      <c r="P100" s="25" t="inlineStr">
        <is>
          <t>Manual FOA decomposition and multi-database research consuming 20+ hours per proposal</t>
        </is>
      </c>
      <c r="Q100" s="25" t="inlineStr">
        <is>
          <t>10-second FOA shredder, 4-part PDF blueprints, and 5-stage capital continuum ledgers</t>
        </is>
      </c>
      <c r="R100" s="25" t="inlineStr">
        <is>
          <t>3-8 seats ($2,000 - $5,000/mo)</t>
        </is>
      </c>
      <c r="S100" s="26" t="n">
        <v>6000</v>
      </c>
      <c r="T100" s="23" t="inlineStr">
        <is>
          <t>Not Contacted</t>
        </is>
      </c>
      <c r="U100" s="27" t="inlineStr"/>
      <c r="V100" s="27" t="inlineStr"/>
      <c r="W100" s="27" t="inlineStr"/>
      <c r="X100" s="27" t="inlineStr"/>
      <c r="Y100" s="28" t="inlineStr">
        <is>
          <t>Hi Neal,
Noticed ML Strategies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0" s="25" t="inlineStr"/>
    </row>
    <row r="101">
      <c r="A101" s="21" t="n">
        <v>97</v>
      </c>
      <c r="B101" s="11" t="inlineStr">
        <is>
          <t>Stephen Humes</t>
        </is>
      </c>
      <c r="C101" s="12" t="inlineStr">
        <is>
          <t>Stephen</t>
        </is>
      </c>
      <c r="D101" s="12" t="inlineStr">
        <is>
          <t>Partner &amp; Energy Practice Co-Chair</t>
        </is>
      </c>
      <c r="E101" s="12" t="inlineStr">
        <is>
          <t>Tier 1: Senior Executive / Partner (Decision Maker)</t>
        </is>
      </c>
      <c r="F101" s="11" t="inlineStr">
        <is>
          <t>Holland &amp; Knight LLP</t>
        </is>
      </c>
      <c r="G101" s="12" t="inlineStr">
        <is>
          <t>https://energyadvisory.com</t>
        </is>
      </c>
      <c r="H101" s="12" t="inlineStr">
        <is>
          <t>Clean Tech &amp; Energy Advisory</t>
        </is>
      </c>
      <c r="I101" s="12" t="inlineStr">
        <is>
          <t>20-100</t>
        </is>
      </c>
      <c r="J101" s="12" t="inlineStr">
        <is>
          <t>stephen.humes@hklaw.com</t>
        </is>
      </c>
      <c r="K101" s="12" t="inlineStr">
        <is>
          <t>(212) 513-3200</t>
        </is>
      </c>
      <c r="L101" s="12" t="inlineStr">
        <is>
          <t>New York, NY</t>
        </is>
      </c>
      <c r="M101" s="12" t="inlineStr">
        <is>
          <t>DOE, NYSERDA, CEC, NSF</t>
        </is>
      </c>
      <c r="N101" s="12" t="inlineStr">
        <is>
          <t>Clean Tech Startups, Utilities, Research Consortia</t>
        </is>
      </c>
      <c r="O101" s="12" t="inlineStr">
        <is>
          <t>$500M+ federal and state grant applications supported</t>
        </is>
      </c>
      <c r="P101" s="12" t="inlineStr">
        <is>
          <t>Manual FOA decomposition and multi-database research consuming 20+ hours per proposal</t>
        </is>
      </c>
      <c r="Q101" s="12" t="inlineStr">
        <is>
          <t>10-second FOA shredder, 4-part PDF blueprints, and 5-stage capital continuum ledgers</t>
        </is>
      </c>
      <c r="R101" s="12" t="inlineStr">
        <is>
          <t>3-8 seats ($2,000 - $5,000/mo)</t>
        </is>
      </c>
      <c r="S101" s="15" t="n">
        <v>6000</v>
      </c>
      <c r="T101" s="21" t="inlineStr">
        <is>
          <t>Not Contacted</t>
        </is>
      </c>
      <c r="U101" s="13" t="inlineStr"/>
      <c r="V101" s="13" t="inlineStr"/>
      <c r="W101" s="13" t="inlineStr"/>
      <c r="X101" s="13" t="inlineStr"/>
      <c r="Y101" s="22" t="inlineStr">
        <is>
          <t>Hi Stephen,
Noticed Holland &amp; Knight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1" s="12" t="inlineStr"/>
    </row>
    <row r="102">
      <c r="A102" s="23" t="n">
        <v>98</v>
      </c>
      <c r="B102" s="24" t="inlineStr">
        <is>
          <t>Gautam Oza</t>
        </is>
      </c>
      <c r="C102" s="25" t="inlineStr">
        <is>
          <t>Gautam</t>
        </is>
      </c>
      <c r="D102" s="25" t="inlineStr">
        <is>
          <t>Managing Director</t>
        </is>
      </c>
      <c r="E102" s="25" t="inlineStr">
        <is>
          <t>Tier 1: Senior Executive / Partner (Decision Maker)</t>
        </is>
      </c>
      <c r="F102" s="24" t="inlineStr">
        <is>
          <t>Clean Energy Options LLC</t>
        </is>
      </c>
      <c r="G102" s="25" t="inlineStr">
        <is>
          <t>https://energyadvisory.com</t>
        </is>
      </c>
      <c r="H102" s="25" t="inlineStr">
        <is>
          <t>Clean Tech &amp; Energy Advisory</t>
        </is>
      </c>
      <c r="I102" s="25" t="inlineStr">
        <is>
          <t>20-100</t>
        </is>
      </c>
      <c r="J102" s="25" t="inlineStr">
        <is>
          <t>gautam@cleanenergyoptions.com</t>
        </is>
      </c>
      <c r="K102" s="25" t="inlineStr">
        <is>
          <t>(212) 658-0050</t>
        </is>
      </c>
      <c r="L102" s="25" t="inlineStr">
        <is>
          <t>New York, NY</t>
        </is>
      </c>
      <c r="M102" s="25" t="inlineStr">
        <is>
          <t>DOE, NYSERDA, CEC, NSF</t>
        </is>
      </c>
      <c r="N102" s="25" t="inlineStr">
        <is>
          <t>Clean Tech Startups, Utilities, Research Consortia</t>
        </is>
      </c>
      <c r="O102" s="25" t="inlineStr">
        <is>
          <t>$500M+ federal and state grant applications supported</t>
        </is>
      </c>
      <c r="P102" s="25" t="inlineStr">
        <is>
          <t>Manual FOA decomposition and multi-database research consuming 20+ hours per proposal</t>
        </is>
      </c>
      <c r="Q102" s="25" t="inlineStr">
        <is>
          <t>10-second FOA shredder, 4-part PDF blueprints, and 5-stage capital continuum ledgers</t>
        </is>
      </c>
      <c r="R102" s="25" t="inlineStr">
        <is>
          <t>3-8 seats ($2,000 - $5,000/mo)</t>
        </is>
      </c>
      <c r="S102" s="26" t="n">
        <v>6000</v>
      </c>
      <c r="T102" s="23" t="inlineStr">
        <is>
          <t>Not Contacted</t>
        </is>
      </c>
      <c r="U102" s="27" t="inlineStr"/>
      <c r="V102" s="27" t="inlineStr"/>
      <c r="W102" s="27" t="inlineStr"/>
      <c r="X102" s="27" t="inlineStr"/>
      <c r="Y102" s="28" t="inlineStr">
        <is>
          <t>Hi Gautam,
Noticed Clean Energy Options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2" s="25" t="inlineStr"/>
    </row>
    <row r="103">
      <c r="A103" s="21" t="n">
        <v>99</v>
      </c>
      <c r="B103" s="11" t="inlineStr">
        <is>
          <t>Peter Kelly-Detwiler</t>
        </is>
      </c>
      <c r="C103" s="12" t="inlineStr">
        <is>
          <t>Peter</t>
        </is>
      </c>
      <c r="D103" s="12" t="inlineStr">
        <is>
          <t>Principal</t>
        </is>
      </c>
      <c r="E103" s="12" t="inlineStr">
        <is>
          <t>Tier 1: Senior Executive / Partner (Decision Maker)</t>
        </is>
      </c>
      <c r="F103" s="11" t="inlineStr">
        <is>
          <t>NorthBridge Energy Partners</t>
        </is>
      </c>
      <c r="G103" s="12" t="inlineStr">
        <is>
          <t>https://energyadvisory.com</t>
        </is>
      </c>
      <c r="H103" s="12" t="inlineStr">
        <is>
          <t>Clean Tech &amp; Energy Advisory</t>
        </is>
      </c>
      <c r="I103" s="12" t="inlineStr">
        <is>
          <t>20-100</t>
        </is>
      </c>
      <c r="J103" s="12" t="inlineStr">
        <is>
          <t>peter@northbridgeenergy.com</t>
        </is>
      </c>
      <c r="K103" s="12" t="inlineStr">
        <is>
          <t>(617) 548-5020</t>
        </is>
      </c>
      <c r="L103" s="12" t="inlineStr">
        <is>
          <t>Boston, MA</t>
        </is>
      </c>
      <c r="M103" s="12" t="inlineStr">
        <is>
          <t>DOE, NYSERDA, CEC, NSF</t>
        </is>
      </c>
      <c r="N103" s="12" t="inlineStr">
        <is>
          <t>Clean Tech Startups, Utilities, Research Consortia</t>
        </is>
      </c>
      <c r="O103" s="12" t="inlineStr">
        <is>
          <t>$500M+ federal and state grant applications supported</t>
        </is>
      </c>
      <c r="P103" s="12" t="inlineStr">
        <is>
          <t>Manual FOA decomposition and multi-database research consuming 20+ hours per proposal</t>
        </is>
      </c>
      <c r="Q103" s="12" t="inlineStr">
        <is>
          <t>10-second FOA shredder, 4-part PDF blueprints, and 5-stage capital continuum ledgers</t>
        </is>
      </c>
      <c r="R103" s="12" t="inlineStr">
        <is>
          <t>3-8 seats ($2,000 - $5,000/mo)</t>
        </is>
      </c>
      <c r="S103" s="15" t="n">
        <v>6000</v>
      </c>
      <c r="T103" s="21" t="inlineStr">
        <is>
          <t>Not Contacted</t>
        </is>
      </c>
      <c r="U103" s="13" t="inlineStr"/>
      <c r="V103" s="13" t="inlineStr"/>
      <c r="W103" s="13" t="inlineStr"/>
      <c r="X103" s="13" t="inlineStr"/>
      <c r="Y103" s="22" t="inlineStr">
        <is>
          <t>Hi Peter,
Noticed NorthBridge Energy Partners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3" s="12" t="inlineStr"/>
    </row>
    <row r="104">
      <c r="A104" s="23" t="n">
        <v>100</v>
      </c>
      <c r="B104" s="24" t="inlineStr">
        <is>
          <t>Michael Terraso</t>
        </is>
      </c>
      <c r="C104" s="25" t="inlineStr">
        <is>
          <t>Michael</t>
        </is>
      </c>
      <c r="D104" s="25" t="inlineStr">
        <is>
          <t>Principal &amp; Director, Environmental Policy</t>
        </is>
      </c>
      <c r="E104" s="25" t="inlineStr">
        <is>
          <t>Tier 1: Senior Executive / Partner (Decision Maker)</t>
        </is>
      </c>
      <c r="F104" s="24" t="inlineStr">
        <is>
          <t>Pioneer Public Affairs</t>
        </is>
      </c>
      <c r="G104" s="25" t="inlineStr">
        <is>
          <t>https://pioneerpublicaffairs.com</t>
        </is>
      </c>
      <c r="H104" s="25" t="inlineStr">
        <is>
          <t>Climate Policy &amp; Clean Energy Procurement</t>
        </is>
      </c>
      <c r="I104" s="25" t="inlineStr">
        <is>
          <t>20-40</t>
        </is>
      </c>
      <c r="J104" s="25" t="inlineStr">
        <is>
          <t>mterraso@pioneerpublicaffairs.com</t>
        </is>
      </c>
      <c r="K104" s="25" t="inlineStr">
        <is>
          <t>(202) 750-1770</t>
        </is>
      </c>
      <c r="L104" s="25" t="inlineStr">
        <is>
          <t>Washington, DC</t>
        </is>
      </c>
      <c r="M104" s="25" t="inlineStr">
        <is>
          <t>DOE, EPA, DOD Clean Energy, Treasury IRA Programs</t>
        </is>
      </c>
      <c r="N104" s="25" t="inlineStr">
        <is>
          <t>Climate Tech Unicorns, Clean Heavy Industry, EV Fleet Operators</t>
        </is>
      </c>
      <c r="O104" s="25" t="inlineStr">
        <is>
          <t>$1.2B+ in IRA &amp; IIJA applications advised</t>
        </is>
      </c>
      <c r="P104" s="25" t="inlineStr">
        <is>
          <t>Navigating statutory compliance clauses (Buy America, Prevailing Wage, Justice40) for rapid client advisory</t>
        </is>
      </c>
      <c r="Q104" s="25" t="inlineStr">
        <is>
          <t>Automated extraction of statutory restrictions, DAC targeting, and cost-share waiver rules across solicitations</t>
        </is>
      </c>
      <c r="R104" s="25" t="inlineStr">
        <is>
          <t>3-5 seats ($2,000 - $3,500/mo)</t>
        </is>
      </c>
      <c r="S104" s="26" t="n">
        <v>4000</v>
      </c>
      <c r="T104" s="23" t="inlineStr">
        <is>
          <t>Not Contacted</t>
        </is>
      </c>
      <c r="U104" s="27" t="inlineStr"/>
      <c r="V104" s="27" t="inlineStr"/>
      <c r="W104" s="27" t="inlineStr"/>
      <c r="X104" s="27" t="inlineStr"/>
      <c r="Y104" s="28" t="inlineStr">
        <is>
          <t>Hi Michael,
Noticed Pioneer Public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4" s="25" t="inlineStr"/>
    </row>
  </sheetData>
  <autoFilter ref="A4:Z104"/>
  <dataValidations count="1">
    <dataValidation sqref="T5:T104" showDropDown="0" showInputMessage="0" showErrorMessage="0" allowBlank="1" type="list">
      <formula1>"Not Contacted,Touch 1 Sent,Touch 2 Sent,Touch 3 Sent,Meeting Booked,Trial Active,Closed Won,Disqualified"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9"/>
  <sheetViews>
    <sheetView showGridLines="1" workbookViewId="0">
      <selection activeCell="A1" sqref="A1"/>
    </sheetView>
  </sheetViews>
  <sheetFormatPr baseColWidth="8" defaultRowHeight="15"/>
  <cols>
    <col width="30" customWidth="1" min="1" max="1"/>
    <col width="95" customWidth="1" min="2" max="2"/>
  </cols>
  <sheetData>
    <row r="1">
      <c r="A1" s="1" t="inlineStr">
        <is>
          <t>High-Converting Multi-Touch Cold Email Sequences</t>
        </is>
      </c>
    </row>
    <row r="2">
      <c r="A2" s="2" t="inlineStr">
        <is>
          <t>Energy Innovation Terminal by AIxEnergy (terminal.aixenergy.io) // 3-Touch Outreach Playbook</t>
        </is>
      </c>
    </row>
    <row r="4">
      <c r="A4" s="29" t="inlineStr">
        <is>
          <t>TOUCH 1: The '10-Second FOA Shredder &amp; Total Grant Suite' Hook (Day 1)</t>
        </is>
      </c>
      <c r="B4" s="5" t="n"/>
    </row>
    <row r="5">
      <c r="A5" s="11" t="inlineStr">
        <is>
          <t>Subject Line:</t>
        </is>
      </c>
      <c r="B5" s="11" t="inlineStr">
        <is>
          <t>Automated FOA shredder + grant intelligence terminal for {{Firm Name}}</t>
        </is>
      </c>
    </row>
    <row r="6">
      <c r="A6" s="11" t="inlineStr">
        <is>
          <t>Recommended Attachments:</t>
        </is>
      </c>
      <c r="B6" s="30" t="inlineStr">
        <is>
          <t>Sample_FOA_Proposal_Blueprint.pdf &amp; Energy_Innovation_Terminal_by_AIxEnergy_Capabilities_Brief.pdf</t>
        </is>
      </c>
    </row>
    <row r="7">
      <c r="A7" s="11" t="inlineStr">
        <is>
          <t>Email Body (Markdown / Text):</t>
        </is>
      </c>
      <c r="B7" s="22" t="inlineStr">
        <is>
          <t>Hi {{First Name}},
Noticed that {{Firm Name}} is actively advising clean tech innovators on major federal and state funding rounds ({{Primary Agency}}).
We built the Energy Innovation Terminal by AIxEnergy (live at terminal.aixenergy.io)—a unified grant and capital intelligence operating system engineered specifically for clean energy consultancies and proposal teams.
While our most popular tool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row>
    <row r="10">
      <c r="A10" s="29" t="inlineStr">
        <is>
          <t>TOUCH 2: The '5-Stage Capital Stack &amp; Client Due Diligence' Deep Dive (Day 4)</t>
        </is>
      </c>
      <c r="B10" s="5" t="n"/>
    </row>
    <row r="11">
      <c r="A11" s="11" t="inlineStr">
        <is>
          <t>Subject Line:</t>
        </is>
      </c>
      <c r="B11" s="11" t="inlineStr">
        <is>
          <t>Re: Automated FOA shredder + grant intelligence terminal for {{Firm Name}}</t>
        </is>
      </c>
    </row>
    <row r="12">
      <c r="A12" s="11" t="inlineStr">
        <is>
          <t>Recommended Attachments:</t>
        </is>
      </c>
      <c r="B12" s="30" t="inlineStr">
        <is>
          <t>Form_Energy_Capital_Intelligence_Dossier.pdf</t>
        </is>
      </c>
    </row>
    <row r="13">
      <c r="A13" s="11" t="inlineStr">
        <is>
          <t>Email Body (Markdown / Text):</t>
        </is>
      </c>
      <c r="B13" s="22" t="inlineStr">
        <is>
          <t>Hi {{First Name}},
Following up on my previous note. Beyond rapid FOA shredding, our consultancy partners rely heavily on the Terminal's 5-Stage Capital Continuum to conduct instant client due diligence and investor readiness mapping.
The Terminal links all historical DOE/ARPA-E grants &lt;-&gt; SEC Form D private equity filings &lt;-&gt; Climate VC rounds &lt;-&gt; DOE LPO debt facilities &lt;-&gt; commercial Bayh-Dole patents into unified entity ledgers.
I've attached our 1-click exported Form Energy Capital Intelligence Dossier (PDF) showing their complete multi-stage capitalization history across $1.2B+ in public awards and private venture backing (Attachment: Form_Energy_Capital_Intelligence_Dossier.pdf).
It replaces 3 to 4 days of manual multi-database research per client. Would Thursday at 2:00 PM ET work for a quick 10-minute walk-through? You can also test drive the live terminal anytime at terminal.aixenergy.io.
Best,
Brandon Owens
Energy Innovation Terminal by AIxEnergy
terminal.aixenergy.io</t>
        </is>
      </c>
    </row>
    <row r="16">
      <c r="A16" s="29" t="inlineStr">
        <is>
          <t>TOUCH 3: The 'Client ROI &amp; Breakup' Note (Day 8)</t>
        </is>
      </c>
      <c r="B16" s="5" t="n"/>
    </row>
    <row r="17">
      <c r="A17" s="11" t="inlineStr">
        <is>
          <t>Subject Line:</t>
        </is>
      </c>
      <c r="B17" s="11" t="inlineStr">
        <is>
          <t>Grant proposal speedup / quick question for {{First Name}}</t>
        </is>
      </c>
    </row>
    <row r="18">
      <c r="A18" s="11" t="inlineStr">
        <is>
          <t>Recommended Attachments:</t>
        </is>
      </c>
      <c r="B18" s="30" t="inlineStr">
        <is>
          <t>Energy_Innovation_Terminal_by_AIxEnergy_Capabilities_Brief.pdf</t>
        </is>
      </c>
    </row>
    <row r="19">
      <c r="A19" s="11" t="inlineStr">
        <is>
          <t>Email Body (Markdown / Text):</t>
        </is>
      </c>
      <c r="B19" s="22" t="inlineStr">
        <is>
          <t>Hi {{First Name}},
I know you're busy running client proposal cycles at {{Firm Name}}.
If you're currently satisfied with manual FOA decomposition in Microsoft Word and searching Grants.gov/SAM.gov by hand, no worries at all—I won't keep following up.
If you ever want to give your proposal managers a 100x speedup with automated scoring rubrics, past-winner teaming radar, predictive release forecasting, and white-labeled PDF exports for your clients, the platform is always accessible at terminal.aixenergy.io.
I've attached our 2-page capabilities brief (Attachment: Energy_Innovation_Terminal_by_AIxEnergy_Capabilities_Brief.pdf) for your records.
Wishing you and the {{Firm Name}} team huge success on upcoming grant cycles!
Best regards,
Brandon Owens
Energy Innovation Terminal by AIxEnergy
terminal.aixenergy.io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1" workbookViewId="0">
      <selection activeCell="A1" sqref="A1"/>
    </sheetView>
  </sheetViews>
  <sheetFormatPr baseColWidth="8" defaultRowHeight="15"/>
  <cols>
    <col width="35" customWidth="1" min="1" max="1"/>
    <col width="45" customWidth="1" min="2" max="2"/>
    <col width="12" customWidth="1" min="3" max="3"/>
    <col width="22" customWidth="1" min="4" max="4"/>
    <col width="45" customWidth="1" min="5" max="5"/>
    <col width="45" customWidth="1" min="6" max="6"/>
  </cols>
  <sheetData>
    <row r="1">
      <c r="A1" s="1" t="inlineStr">
        <is>
          <t>Outreach PDF Attachments &amp; Strategic Deliverables</t>
        </is>
      </c>
    </row>
    <row r="2">
      <c r="A2" s="2" t="inlineStr">
        <is>
          <t>Energy Innovation Terminal by AIxEnergy // Publication-Grade Deliverables Overview</t>
        </is>
      </c>
    </row>
    <row r="4">
      <c r="A4" s="10" t="inlineStr">
        <is>
          <t>Attachment File Name</t>
        </is>
      </c>
      <c r="B4" s="10" t="inlineStr">
        <is>
          <t>Workspace Relative Path</t>
        </is>
      </c>
      <c r="C4" s="10" t="inlineStr">
        <is>
          <t>Size</t>
        </is>
      </c>
      <c r="D4" s="10" t="inlineStr">
        <is>
          <t>Target Outreach Stage</t>
        </is>
      </c>
      <c r="E4" s="10" t="inlineStr">
        <is>
          <t>Key Sections &amp; Data Included</t>
        </is>
      </c>
      <c r="F4" s="10" t="inlineStr">
        <is>
          <t>Strategic Sales Purpose</t>
        </is>
      </c>
    </row>
    <row r="5">
      <c r="A5" s="11" t="inlineStr">
        <is>
          <t>Sample_FOA_Proposal_Blueprint.pdf</t>
        </is>
      </c>
      <c r="B5" s="31" t="inlineStr">
        <is>
          <t>outreach_attachments/Sample_FOA_Proposal_Blueprint.pdf</t>
        </is>
      </c>
      <c r="C5" s="13" t="inlineStr">
        <is>
          <t>7.5 KB</t>
        </is>
      </c>
      <c r="D5" s="21" t="inlineStr">
        <is>
          <t>Touch 1 (Day 1)</t>
        </is>
      </c>
      <c r="E5" s="22" t="inlineStr">
        <is>
          <t>1. Official Reviewer Scoring Rubric (weighted %)
2. Mandatory Compliance Stage Gates (Cost-Share %, BABA, Justice40)
3. Submission Volume Checklist with Page Limits
4. Red-Team Win Strategies &amp; Fatal Flaws</t>
        </is>
      </c>
      <c r="F5" s="22" t="inlineStr">
        <is>
          <t>Proves the 10-second FOA shredding speed and high-fidelity output format. Establishes instant credibility with senior proposal writers.</t>
        </is>
      </c>
    </row>
    <row r="6">
      <c r="A6" s="11" t="inlineStr">
        <is>
          <t>Form_Energy_Capital_Intelligence_Dossier.pdf</t>
        </is>
      </c>
      <c r="B6" s="31" t="inlineStr">
        <is>
          <t>outreach_attachments/Form_Energy_Capital_Intelligence_Dossier.pdf</t>
        </is>
      </c>
      <c r="C6" s="13" t="inlineStr">
        <is>
          <t>6.5 KB</t>
        </is>
      </c>
      <c r="D6" s="21" t="inlineStr">
        <is>
          <t>Touch 2 (Day 4)</t>
        </is>
      </c>
      <c r="E6" s="22" t="inlineStr">
        <is>
          <t>1. Multi-Stage Capital Summary ($1.2B+ across grants &amp; equity)
2. Non-Dilutive Grant Award Ledger
3. SEC Form D Private Offering Filings
4. Venture Capital Rounds &amp; Lead Investors
5. Bayh-Dole Commercial Inventions &amp; USPTO Patents</t>
        </is>
      </c>
      <c r="F6" s="22" t="inlineStr">
        <is>
          <t>Demonstrates complete capital stack tracking across the entire clean tech lifecycle. Replaces 3–4 days of manual client due diligence.</t>
        </is>
      </c>
    </row>
    <row r="7">
      <c r="A7" s="11" t="inlineStr">
        <is>
          <t>Energy_Innovation_Terminal_by_AIxEnergy_Capabilities_Brief.pdf</t>
        </is>
      </c>
      <c r="B7" s="31" t="inlineStr">
        <is>
          <t>outreach_attachments/Energy_Innovation_Terminal_by_AIxEnergy_Capabilities_Brief.pdf</t>
        </is>
      </c>
      <c r="C7" s="13" t="inlineStr">
        <is>
          <t>8.5 KB</t>
        </is>
      </c>
      <c r="D7" s="21" t="inlineStr">
        <is>
          <t>Touch 3 / Executive Brief</t>
        </is>
      </c>
      <c r="E7" s="22" t="inlineStr">
        <is>
          <t>1. Total Focused Platform Matrix (9 Core Modules)
2. 4-Stage Consultancy Workflow Integration Model
3. Commercial Pricing Tiers ($500/mo, $2,000/mo, $5,000/mo)
4. Consultancy ROI Economics ($4k–$7k recovered per proposal)</t>
        </is>
      </c>
      <c r="F7" s="22" t="inlineStr">
        <is>
          <t>Comprehensive 2-page institutional executive brief for practice heads and managing partners deciding on team software budgets.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32" customWidth="1" min="1" max="1"/>
    <col width="32" customWidth="1" min="2" max="2"/>
    <col width="48" customWidth="1" min="3" max="3"/>
    <col width="38" customWidth="1" min="4" max="4"/>
    <col width="35" customWidth="1" min="5" max="5"/>
  </cols>
  <sheetData>
    <row r="1">
      <c r="A1" s="1" t="inlineStr">
        <is>
          <t>Consultancy Objection Handling &amp; Competitive Battlecards</t>
        </is>
      </c>
    </row>
    <row r="2">
      <c r="A2" s="2" t="inlineStr">
        <is>
          <t>Energy Innovation Terminal by AIxEnergy (terminal.aixenergy.io) // Sales Call Playbook</t>
        </is>
      </c>
    </row>
    <row r="4">
      <c r="A4" s="10" t="inlineStr">
        <is>
          <t>Prospect Objection</t>
        </is>
      </c>
      <c r="B4" s="10" t="inlineStr">
        <is>
          <t>Underlying Concern / Status Quo</t>
        </is>
      </c>
      <c r="C4" s="10" t="inlineStr">
        <is>
          <t>Winning Value Talk Track</t>
        </is>
      </c>
      <c r="D4" s="10" t="inlineStr">
        <is>
          <t>Live Terminal Demonstration Hook</t>
        </is>
      </c>
      <c r="E4" s="10" t="inlineStr">
        <is>
          <t>Follow-up Asset to Send</t>
        </is>
      </c>
    </row>
    <row r="5">
      <c r="A5" s="11" t="inlineStr">
        <is>
          <t>"We already use Grants.gov and SAM.gov for free."</t>
        </is>
      </c>
      <c r="B5" s="22" t="inlineStr">
        <is>
          <t>Status quo inertia; prospect assumes Terminal is just another keyword search filter.</t>
        </is>
      </c>
      <c r="C5" s="22" t="inlineStr">
        <is>
          <t>"Grants.gov gives you raw, unformatted 100-page PDF solicitations with zero structured intelligence. We don't just search—our engine shreds that 80-page FOA in 10 seconds into a weighted scoring rubric, verifies statutory compliance stage gates, and indexes all 50,000 past winners to assemble your teaming matrix. It saves your proposal team 20+ hours on every application."</t>
        </is>
      </c>
      <c r="D5" s="32" t="inlineStr">
        <is>
          <t>Shred an active DOE OCED or NYSERDA FOA live on screen in 10 seconds; show the instant 4-part PDF download.</t>
        </is>
      </c>
      <c r="E5" s="11" t="inlineStr">
        <is>
          <t>Sample_FOA_Proposal_Blueprint.pdf</t>
        </is>
      </c>
    </row>
    <row r="6">
      <c r="A6" s="11" t="inlineStr">
        <is>
          <t>"We do our FOA shredding manually in Microsoft Word/Excel."</t>
        </is>
      </c>
      <c r="B6" s="22" t="inlineStr">
        <is>
          <t>Established billable workflow; afraid of disrupting proposal team habits.</t>
        </is>
      </c>
      <c r="C6" s="22" t="inlineStr">
        <is>
          <t>"Your clients pay you premium rates for high-scoring technical narratives and win strategy, not mechanical copy-pasting of page limit tables. By automating the mechanical shredding and compliance matrix generation, your team can submit 3x more proposals per quarter with zero added headcount."</t>
        </is>
      </c>
      <c r="D6" s="32" t="inlineStr">
        <is>
          <t>Show side-by-side comparison: 3 days of manual Word formatting vs 10-second automated ReportLab export.</t>
        </is>
      </c>
      <c r="E6" s="11" t="inlineStr">
        <is>
          <t>Energy_Innovation_Terminal_by_AIxEnergy_Capabilities_Brief.pdf</t>
        </is>
      </c>
    </row>
    <row r="7">
      <c r="A7" s="11" t="inlineStr">
        <is>
          <t>"How fresh is your data compared to official dockets?"</t>
        </is>
      </c>
      <c r="B7" s="22" t="inlineStr">
        <is>
          <t>Fear of missing a critical amendment, deadline shift, or upcoming release.</t>
        </is>
      </c>
      <c r="C7" s="22" t="inlineStr">
        <is>
          <t>"The platform features continuous automated ingestion across DOE, NYSERDA, CEC, MassCEC, ARPA-E, and NSF dockets. In addition, our Predictive Release Forecasting engine models historical cycles to alert you to recurring FOA drops 3 to 6 months before they hit public dockets."</t>
        </is>
      </c>
      <c r="D7" s="32" t="inlineStr">
        <is>
          <t>Open the Predictive Release Forecasting tab; show forecasted drop dates for clean energy programs.</t>
        </is>
      </c>
      <c r="E7" s="11" t="inlineStr">
        <is>
          <t>Live Terminal Link: terminal.aixenergy.io/forecasting</t>
        </is>
      </c>
    </row>
    <row r="8">
      <c r="A8" s="11" t="inlineStr">
        <is>
          <t>"Can we white-label the reports and blueprints for our clients?"</t>
        </is>
      </c>
      <c r="B8" s="22" t="inlineStr">
        <is>
          <t>Consultancy brand protection; wanting to present intelligence under their own masthead.</t>
        </is>
      </c>
      <c r="C8" s="22" t="inlineStr">
        <is>
          <t>"Yes. All PDF blueprints and recipient dossiers export as native, publication-grade vector documents ready to deliver directly to clients or copy into your firm's proposal templates. Team and Enterprise plans support custom firm branding."</t>
        </is>
      </c>
      <c r="D8" s="32" t="inlineStr">
        <is>
          <t>Show the publication-grade PDF layout and clean typography matching institutional monograph standards.</t>
        </is>
      </c>
      <c r="E8" s="11" t="inlineStr">
        <is>
          <t>Form_Energy_Capital_Intelligence_Dossier.pdf</t>
        </is>
      </c>
    </row>
    <row r="9">
      <c r="A9" s="11" t="inlineStr">
        <is>
          <t>"How do you compare to GovWin (Deltek) or Bloomberg Gov?"</t>
        </is>
      </c>
      <c r="B9" s="22" t="inlineStr">
        <is>
          <t>Enterprise comparison with broad defense/IT databases.</t>
        </is>
      </c>
      <c r="C9" s="22" t="inlineStr">
        <is>
          <t>"GovWin and BGOV are broad defense/IT procurement tools built for defense primes like Lockheed. They don't understand clean energy: they lack TRL tracking, Justice40 Community Benefits Plans, Bayh-Dole patent lineages, DOE National Lab testbed access, and 5-stage clean tech capital progression. We are the purpose-built terminal for energy innovation."</t>
        </is>
      </c>
      <c r="D9" s="32" t="inlineStr">
        <is>
          <t>Demonstrate the 5-Stage Capital Continuum and Bayh-Dole patent linkage on a hardtech recipient like Form Energy.</t>
        </is>
      </c>
      <c r="E9" s="11" t="inlineStr">
        <is>
          <t>Form_Energy_Capital_Intelligence_Dossier.pdf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showGridLines="1" workbookViewId="0">
      <selection activeCell="A1" sqref="A1"/>
    </sheetView>
  </sheetViews>
  <sheetFormatPr baseColWidth="8" defaultRowHeight="15"/>
  <cols>
    <col width="12" customWidth="1" min="1" max="1"/>
    <col width="36" customWidth="1" min="2" max="2"/>
    <col width="35" customWidth="1" min="3" max="3"/>
    <col width="45" customWidth="1" min="4" max="4"/>
    <col width="36" customWidth="1" min="5" max="5"/>
    <col width="38" customWidth="1" min="6" max="6"/>
  </cols>
  <sheetData>
    <row r="1">
      <c r="A1" s="1" t="inlineStr">
        <is>
          <t>Core Platform Capabilities &amp; Commercial Pricing Architecture</t>
        </is>
      </c>
    </row>
    <row r="2">
      <c r="A2" s="2" t="inlineStr">
        <is>
          <t>Energy Innovation Terminal by AIxEnergy (terminal.aixenergy.io) // Product Suite Specification</t>
        </is>
      </c>
    </row>
    <row r="4">
      <c r="A4" s="9" t="inlineStr">
        <is>
          <t>CORE PLATFORM MODULES (GRANT &amp; CAPITAL INTELLIGENCE ENGINES)</t>
        </is>
      </c>
    </row>
    <row r="5">
      <c r="A5" s="10" t="inlineStr">
        <is>
          <t>Module #</t>
        </is>
      </c>
      <c r="B5" s="10" t="inlineStr">
        <is>
          <t>Capability Module Name</t>
        </is>
      </c>
      <c r="C5" s="10" t="inlineStr">
        <is>
          <t>Technical Data Scope &amp; Engine</t>
        </is>
      </c>
      <c r="D5" s="10" t="inlineStr">
        <is>
          <t>Key Features &amp; Deliverables</t>
        </is>
      </c>
      <c r="E5" s="10" t="inlineStr">
        <is>
          <t>Consultancy Value Impact</t>
        </is>
      </c>
    </row>
    <row r="6">
      <c r="A6" s="21" t="n">
        <v>1</v>
      </c>
      <c r="B6" s="11" t="inlineStr">
        <is>
          <t>AI FOA Shredder &amp; Scoring Rubric Engine</t>
        </is>
      </c>
      <c r="C6" s="12" t="inlineStr">
        <is>
          <t>80+ page federal solicitation NLP/LLM extraction</t>
        </is>
      </c>
      <c r="D6" s="22" t="inlineStr">
        <is>
          <t>Weighted scoring rubrics, mandatory compliance gates, volume page limits, red-team win themes</t>
        </is>
      </c>
      <c r="E6" s="11" t="inlineStr">
        <is>
          <t>Cuts FOA breakdown from 3 days to 10 seconds</t>
        </is>
      </c>
    </row>
    <row r="7">
      <c r="A7" s="21" t="n">
        <v>2</v>
      </c>
      <c r="B7" s="11" t="inlineStr">
        <is>
          <t>50,000+ Past Awardee &amp; Teaming Network</t>
        </is>
      </c>
      <c r="C7" s="12" t="inlineStr">
        <is>
          <t>Historical awards across DOE, NYSERDA, CEC, NSF, ARPA-E</t>
        </is>
      </c>
      <c r="D7" s="22" t="inlineStr">
        <is>
          <t>Past winning primes, university research labs, national labs, co-applicant consortium search</t>
        </is>
      </c>
      <c r="E7" s="11" t="inlineStr">
        <is>
          <t>Assembles winning consortia in 5 minutes</t>
        </is>
      </c>
    </row>
    <row r="8">
      <c r="A8" s="21" t="n">
        <v>3</v>
      </c>
      <c r="B8" s="11" t="inlineStr">
        <is>
          <t>5-Stage Capital Stack Continuum</t>
        </is>
      </c>
      <c r="C8" s="12" t="inlineStr">
        <is>
          <t>Multi-database financial ledger integration</t>
        </is>
      </c>
      <c r="D8" s="22" t="inlineStr">
        <is>
          <t>Public grants &lt;-&gt; SEC Form D &lt;-&gt; VC rounds &lt;-&gt; LPO debt &lt;-&gt; Bayh-Dole commercial patents</t>
        </is>
      </c>
      <c r="E8" s="11" t="inlineStr">
        <is>
          <t>Eliminates 3–4 days of manual due diligence</t>
        </is>
      </c>
    </row>
    <row r="9">
      <c r="A9" s="21" t="n">
        <v>4</v>
      </c>
      <c r="B9" s="11" t="inlineStr">
        <is>
          <t>Predictive Solicitation Release Forecasting</t>
        </is>
      </c>
      <c r="C9" s="12" t="inlineStr">
        <is>
          <t>Machine-learning temporal recurrence modeling</t>
        </is>
      </c>
      <c r="D9" s="22" t="inlineStr">
        <is>
          <t>Forecasted drop dates, budget appropriations, recurrence cycle history</t>
        </is>
      </c>
      <c r="E9" s="11" t="inlineStr">
        <is>
          <t>Pitches and prepares clients 3–6 months ahead</t>
        </is>
      </c>
    </row>
    <row r="10">
      <c r="A10" s="21" t="n">
        <v>5</v>
      </c>
      <c r="B10" s="11" t="inlineStr">
        <is>
          <t>DOE National Lab Testbed &amp; Facility Directory</t>
        </is>
      </c>
      <c r="C10" s="12" t="inlineStr">
        <is>
          <t>500+ national lab user instruments &amp; testbeds</t>
        </is>
      </c>
      <c r="D10" s="22" t="inlineStr">
        <is>
          <t>NREL, LBNL, PNNL, ORNL, NETL, ANL access mechanisms and proposal deadlines</t>
        </is>
      </c>
      <c r="E10" s="11" t="inlineStr">
        <is>
          <t>Matches clients with required testing facilities</t>
        </is>
      </c>
    </row>
    <row r="11">
      <c r="A11" s="21" t="n">
        <v>6</v>
      </c>
      <c r="B11" s="11" t="inlineStr">
        <is>
          <t>Policy, Codes, Standards &amp; Dockets</t>
        </is>
      </c>
      <c r="C11" s="12" t="inlineStr">
        <is>
          <t>FERC proceedings &amp; state decarbonization mandates</t>
        </is>
      </c>
      <c r="D11" s="22" t="inlineStr">
        <is>
          <t>State climate laws, building efficiency standards, IRA Section 48C/45X/45V tax guidance</t>
        </is>
      </c>
      <c r="E11" s="11" t="inlineStr">
        <is>
          <t>Ensures proposals meet statutory policy goals</t>
        </is>
      </c>
    </row>
    <row r="12">
      <c r="A12" s="21" t="n">
        <v>7</v>
      </c>
      <c r="B12" s="11" t="inlineStr">
        <is>
          <t>University Licensable IP &amp; Spinout Portal</t>
        </is>
      </c>
      <c r="C12" s="12" t="inlineStr">
        <is>
          <t>Academic clean tech patents &amp; spinout portal</t>
        </is>
      </c>
      <c r="D12" s="22" t="inlineStr">
        <is>
          <t>MIT, Stanford, Cornell, UC Berkeley patent claims, estimated TRL, tech licensing contacts</t>
        </is>
      </c>
      <c r="E12" s="11" t="inlineStr">
        <is>
          <t>Sources commercializable IP for SBIR/STTR</t>
        </is>
      </c>
    </row>
    <row r="13">
      <c r="A13" s="21" t="n">
        <v>8</v>
      </c>
      <c r="B13" s="11" t="inlineStr">
        <is>
          <t>IRA Direct Pay &amp; Tax Credit Calculator</t>
        </is>
      </c>
      <c r="C13" s="12" t="inlineStr">
        <is>
          <t>Clean energy project finance modeling</t>
        </is>
      </c>
      <c r="D13" s="22" t="inlineStr">
        <is>
          <t>30–50% federal direct pay benefits, prevailing wage multipliers, domestic content adders</t>
        </is>
      </c>
      <c r="E13" s="11" t="inlineStr">
        <is>
          <t>Models project capital stacks alongside grants</t>
        </is>
      </c>
    </row>
    <row r="14">
      <c r="A14" s="21" t="n">
        <v>9</v>
      </c>
      <c r="B14" s="11" t="inlineStr">
        <is>
          <t>Publication-Grade 1-Click PDF Exports</t>
        </is>
      </c>
      <c r="C14" s="12" t="inlineStr">
        <is>
          <t>Native ReportLab vector PDF document engine</t>
        </is>
      </c>
      <c r="D14" s="22" t="inlineStr">
        <is>
          <t>Multi-page FOA proposal blueprints and recipient dossiers ready for client delivery</t>
        </is>
      </c>
      <c r="E14" s="11" t="inlineStr">
        <is>
          <t>Directly billable client-ready deliverables</t>
        </is>
      </c>
    </row>
    <row r="17">
      <c r="A17" s="9" t="inlineStr">
        <is>
          <t>COMMERCIAL LICENSING TIERS &amp; ROI ECONOMICS</t>
        </is>
      </c>
    </row>
    <row r="18">
      <c r="A18" s="33" t="inlineStr">
        <is>
          <t>Plan Tier</t>
        </is>
      </c>
      <c r="B18" s="33" t="inlineStr">
        <is>
          <t>Target Practice</t>
        </is>
      </c>
      <c r="C18" s="33" t="inlineStr">
        <is>
          <t>Included Seats &amp; Quotas</t>
        </is>
      </c>
      <c r="D18" s="33" t="inlineStr">
        <is>
          <t>Monthly Price</t>
        </is>
      </c>
      <c r="E18" s="33" t="inlineStr">
        <is>
          <t>Annual Billing</t>
        </is>
      </c>
      <c r="F18" s="33" t="inlineStr">
        <is>
          <t>Consultancy ROI Economics</t>
        </is>
      </c>
    </row>
    <row r="19">
      <c r="A19" s="11" t="inlineStr">
        <is>
          <t>Practitioner Seat</t>
        </is>
      </c>
      <c r="B19" s="12" t="inlineStr">
        <is>
          <t>Solo Grant Writers &amp; Boutique Consultants</t>
        </is>
      </c>
      <c r="C19" s="22" t="inlineStr">
        <is>
          <t>1 Named Seat • Unlimited FOA Shreds • Full 50k+ Database • PDF Exports</t>
        </is>
      </c>
      <c r="D19" s="21" t="inlineStr">
        <is>
          <t>$500 / month</t>
        </is>
      </c>
      <c r="E19" s="13" t="inlineStr">
        <is>
          <t>$5,000 / year ($416/mo)</t>
        </is>
      </c>
      <c r="F19" s="34" t="inlineStr">
        <is>
          <t>Saves 20 hours/mo = $4,000 billable value (8x ROI)</t>
        </is>
      </c>
    </row>
    <row r="20">
      <c r="A20" s="11" t="inlineStr">
        <is>
          <t>Consultancy Team</t>
        </is>
      </c>
      <c r="B20" s="12" t="inlineStr">
        <is>
          <t>Grant Writing Firms &amp; Gov Affairs Practices</t>
        </is>
      </c>
      <c r="C20" s="22" t="inlineStr">
        <is>
          <t>5 Team Seats • Consortia Teaming Radar • White-Label PDFs • Predictive Radar</t>
        </is>
      </c>
      <c r="D20" s="21" t="inlineStr">
        <is>
          <t>$2,000 / month</t>
        </is>
      </c>
      <c r="E20" s="13" t="inlineStr">
        <is>
          <t>$20,000 / year ($1,666/mo)</t>
        </is>
      </c>
      <c r="F20" s="34" t="inlineStr">
        <is>
          <t>Saves 100 hours/mo = $20,000 billable value (10x ROI)</t>
        </is>
      </c>
    </row>
    <row r="21">
      <c r="A21" s="11" t="inlineStr">
        <is>
          <t>Enterprise Practice</t>
        </is>
      </c>
      <c r="B21" s="12" t="inlineStr">
        <is>
          <t>Global Energy Advisory (ICF, Guidehouse, Big 4)</t>
        </is>
      </c>
      <c r="C21" s="22" t="inlineStr">
        <is>
          <t>15+ Seats • REST API Access • Dedicated Ingestion Feeds • Custom SLA</t>
        </is>
      </c>
      <c r="D21" s="21" t="inlineStr">
        <is>
          <t>$5,000+ / month</t>
        </is>
      </c>
      <c r="E21" s="13" t="inlineStr">
        <is>
          <t>Custom Annual Invoice</t>
        </is>
      </c>
      <c r="F21" s="34" t="inlineStr">
        <is>
          <t>Deploys across entire national energy advisory practice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2026-09-09T14:31:38Z</dcterms:created>
  <dcterms:modified xmlns:dcterms="http://purl.org/dc/terms/" xmlns:xsi="http://www.w3.org/2001/XMLSchema-instance" xsi:type="dcterms:W3CDTF">2026-09-09T14:31:38Z</dcterms:modified>
</cp:coreProperties>
</file>