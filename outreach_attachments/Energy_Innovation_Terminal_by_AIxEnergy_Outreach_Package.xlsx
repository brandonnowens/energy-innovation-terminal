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amp; Outreach KPIs" sheetId="1" state="visible" r:id="rId1"/>
    <sheet xmlns:r="http://schemas.openxmlformats.org/officeDocument/2006/relationships" name="Top 100 Leads CRM" sheetId="2" state="visible" r:id="rId2"/>
    <sheet xmlns:r="http://schemas.openxmlformats.org/officeDocument/2006/relationships" name="Email Sequences &amp; Copy" sheetId="3" state="visible" r:id="rId3"/>
    <sheet xmlns:r="http://schemas.openxmlformats.org/officeDocument/2006/relationships" name="Attachments Guide" sheetId="4" state="visible" r:id="rId4"/>
    <sheet xmlns:r="http://schemas.openxmlformats.org/officeDocument/2006/relationships" name="Objection Handling" sheetId="5" state="visible" r:id="rId5"/>
    <sheet xmlns:r="http://schemas.openxmlformats.org/officeDocument/2006/relationships" name="Capabilities &amp; Pricing" sheetId="6" state="visible" r:id="rId6"/>
  </sheets>
  <definedNames/>
  <calcPr calcId="124519" fullCalcOnLoad="1"/>
</workbook>
</file>

<file path=xl/styles.xml><?xml version="1.0" encoding="utf-8"?>
<styleSheet xmlns="http://schemas.openxmlformats.org/spreadsheetml/2006/main">
  <numFmts count="1">
    <numFmt numFmtId="164" formatCode="$#,##0"/>
  </numFmts>
  <fonts count="10">
    <font>
      <name val="Calibri"/>
      <family val="2"/>
      <color theme="1"/>
      <sz val="11"/>
      <scheme val="minor"/>
    </font>
    <font>
      <name val="Calibri"/>
      <b val="1"/>
      <color rgb="00FFFFFF"/>
      <sz val="16"/>
    </font>
    <font>
      <name val="Calibri"/>
      <i val="1"/>
      <color rgb="0064748B"/>
      <sz val="10"/>
    </font>
    <font>
      <name val="Calibri"/>
      <b val="1"/>
      <color rgb="0064748B"/>
      <sz val="9"/>
    </font>
    <font>
      <name val="Calibri"/>
      <b val="1"/>
      <color rgb="000284C7"/>
      <sz val="20"/>
    </font>
    <font>
      <name val="Calibri"/>
      <b val="1"/>
      <color rgb="000F172A"/>
      <sz val="13"/>
    </font>
    <font>
      <name val="Calibri"/>
      <b val="1"/>
      <color rgb="00FFFFFF"/>
      <sz val="11"/>
    </font>
    <font>
      <name val="Calibri"/>
      <b val="1"/>
      <color rgb="001E293B"/>
      <sz val="10"/>
    </font>
    <font>
      <name val="Calibri"/>
      <color rgb="001E293B"/>
      <sz val="10"/>
    </font>
    <font>
      <name val="Calibri"/>
      <b val="1"/>
      <color rgb="000284C7"/>
      <sz val="10"/>
    </font>
  </fonts>
  <fills count="6">
    <fill>
      <patternFill/>
    </fill>
    <fill>
      <patternFill patternType="gray125"/>
    </fill>
    <fill>
      <patternFill patternType="solid">
        <fgColor rgb="00080C14"/>
        <bgColor rgb="00080C14"/>
      </patternFill>
    </fill>
    <fill>
      <patternFill patternType="solid">
        <fgColor rgb="00F1F5F9"/>
        <bgColor rgb="00F1F5F9"/>
      </patternFill>
    </fill>
    <fill>
      <patternFill patternType="solid">
        <fgColor rgb="000F172A"/>
        <bgColor rgb="000F172A"/>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5" fillId="0" borderId="0" pivotButton="0" quotePrefix="0" xfId="0"/>
    <xf numFmtId="0" fontId="6" fillId="4" borderId="0" applyAlignment="1" pivotButton="0" quotePrefix="0" xfId="0">
      <alignment horizontal="center" vertical="center"/>
    </xf>
    <xf numFmtId="0" fontId="7" fillId="0" borderId="1" applyAlignment="1" pivotButton="0" quotePrefix="0" xfId="0">
      <alignment horizontal="left" vertical="center"/>
    </xf>
    <xf numFmtId="0" fontId="8" fillId="0" borderId="1" applyAlignment="1" pivotButton="0" quotePrefix="0" xfId="0">
      <alignment horizontal="center" vertical="center"/>
    </xf>
    <xf numFmtId="0" fontId="7" fillId="0" borderId="1" applyAlignment="1" pivotButton="0" quotePrefix="0" xfId="0">
      <alignment horizontal="center" vertical="center"/>
    </xf>
    <xf numFmtId="0" fontId="7" fillId="0" borderId="1" applyAlignment="1" pivotButton="0" quotePrefix="0" xfId="0">
      <alignment horizontal="right" vertical="center"/>
    </xf>
    <xf numFmtId="0" fontId="7" fillId="5" borderId="1" applyAlignment="1" pivotButton="0" quotePrefix="0" xfId="0">
      <alignment horizontal="left" vertical="center"/>
    </xf>
    <xf numFmtId="0" fontId="8" fillId="5" borderId="1" applyAlignment="1" pivotButton="0" quotePrefix="0" xfId="0">
      <alignment horizontal="center" vertical="center"/>
    </xf>
    <xf numFmtId="0" fontId="7" fillId="5" borderId="1" applyAlignment="1" pivotButton="0" quotePrefix="0" xfId="0">
      <alignment horizontal="center" vertical="center"/>
    </xf>
    <xf numFmtId="0" fontId="7" fillId="5" borderId="1" applyAlignment="1" pivotButton="0" quotePrefix="0" xfId="0">
      <alignment horizontal="right" vertical="center"/>
    </xf>
    <xf numFmtId="0" fontId="6" fillId="4" borderId="0" applyAlignment="1" pivotButton="0" quotePrefix="0" xfId="0">
      <alignment horizontal="center" vertical="center" wrapText="1"/>
    </xf>
    <xf numFmtId="0" fontId="8" fillId="0" borderId="1" applyAlignment="1" pivotButton="0" quotePrefix="0" xfId="0">
      <alignment horizontal="left" vertical="center"/>
    </xf>
    <xf numFmtId="164" fontId="8" fillId="0" borderId="1" applyAlignment="1" pivotButton="0" quotePrefix="0" xfId="0">
      <alignment horizontal="right" vertical="center"/>
    </xf>
    <xf numFmtId="0" fontId="8" fillId="5" borderId="1" applyAlignment="1" pivotButton="0" quotePrefix="0" xfId="0">
      <alignment horizontal="left" vertical="center"/>
    </xf>
    <xf numFmtId="164" fontId="8" fillId="5" borderId="1" applyAlignment="1" pivotButton="0" quotePrefix="0" xfId="0">
      <alignment horizontal="right" vertical="center"/>
    </xf>
    <xf numFmtId="0" fontId="1" fillId="2" borderId="0" pivotButton="0" quotePrefix="0" xfId="0"/>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showGridLines="1" workbookViewId="0">
      <selection activeCell="A1" sqref="A1"/>
    </sheetView>
  </sheetViews>
  <sheetFormatPr baseColWidth="8" defaultRowHeight="15"/>
  <cols>
    <col width="65" customWidth="1" min="1" max="1"/>
    <col width="16" customWidth="1" min="2" max="2"/>
    <col width="20" customWidth="1" min="3" max="3"/>
    <col width="18" customWidth="1" min="4" max="4"/>
    <col width="35" customWidth="1" min="5" max="5"/>
    <col width="28" customWidth="1" min="6" max="6"/>
    <col width="21" customWidth="1" min="7" max="7"/>
    <col width="12" customWidth="1" min="8" max="8"/>
  </cols>
  <sheetData>
    <row r="1" ht="40" customHeight="1">
      <c r="A1" s="1" t="inlineStr">
        <is>
          <t>ENERGY INNOVATION TERMINAL BY AIxENERGY — TOP 100 SALES CAMPAIGN</t>
        </is>
      </c>
    </row>
    <row r="2" ht="20" customHeight="1">
      <c r="A2" s="2" t="inlineStr">
        <is>
          <t>Live Terminal: terminal.aixenergy.io | Pricing Model: $1,500 / seat / month Flat Rate ($18,000 / seat / year) | Target Persona: Clean Tech &amp; Grant Consultancies</t>
        </is>
      </c>
    </row>
    <row r="3"/>
    <row r="4" ht="18" customHeight="1">
      <c r="A4" s="3" t="inlineStr">
        <is>
          <t>TOTAL TARGET LEADS</t>
        </is>
      </c>
      <c r="C4" s="3" t="inlineStr">
        <is>
          <t>FLAT RATE PRICING</t>
        </is>
      </c>
      <c r="E4" s="3" t="inlineStr">
        <is>
          <t>AVG DEAL SIZE (5 SEATS)</t>
        </is>
      </c>
      <c r="G4" s="3" t="inlineStr">
        <is>
          <t>TOTAL PIPELINE ACV</t>
        </is>
      </c>
    </row>
    <row r="5" ht="32" customHeight="1">
      <c r="A5" s="4" t="inlineStr">
        <is>
          <t>100</t>
        </is>
      </c>
      <c r="C5" s="4" t="inlineStr">
        <is>
          <t>$1,500 / mo</t>
        </is>
      </c>
      <c r="E5" s="4" t="inlineStr">
        <is>
          <t>$7,500 / mo</t>
        </is>
      </c>
      <c r="G5" s="4" t="inlineStr">
        <is>
          <t>$5,400,000</t>
        </is>
      </c>
    </row>
    <row r="6"/>
    <row r="7"/>
    <row r="8">
      <c r="A8" s="5" t="inlineStr">
        <is>
          <t>CAMPAIGN CONVERSION STAGES &amp; FORECAST</t>
        </is>
      </c>
    </row>
    <row r="9"/>
    <row r="10" ht="25" customHeight="1">
      <c r="A10" s="6" t="inlineStr">
        <is>
          <t>Stage</t>
        </is>
      </c>
      <c r="B10" s="6" t="inlineStr">
        <is>
          <t>Target Volume</t>
        </is>
      </c>
      <c r="C10" s="6" t="inlineStr">
        <is>
          <t>Expected Conv %</t>
        </is>
      </c>
      <c r="D10" s="6" t="inlineStr">
        <is>
          <t>Projected Deals</t>
        </is>
      </c>
      <c r="E10" s="6" t="inlineStr">
        <is>
          <t>Est Monthly Revenue ($1.5k/seat)</t>
        </is>
      </c>
      <c r="F10" s="6" t="inlineStr">
        <is>
          <t>Est Annual Contract Value</t>
        </is>
      </c>
    </row>
    <row r="11" ht="22" customHeight="1">
      <c r="A11" s="7" t="inlineStr">
        <is>
          <t>Stage 1: Personalized Outreach Sent</t>
        </is>
      </c>
      <c r="B11" s="8" t="n">
        <v>100</v>
      </c>
      <c r="C11" s="8" t="inlineStr">
        <is>
          <t>100%</t>
        </is>
      </c>
      <c r="D11" s="9" t="n">
        <v>100</v>
      </c>
      <c r="E11" s="10" t="inlineStr">
        <is>
          <t>$450,000</t>
        </is>
      </c>
      <c r="F11" s="10" t="inlineStr">
        <is>
          <t>$5,400,000</t>
        </is>
      </c>
    </row>
    <row r="12" ht="22" customHeight="1">
      <c r="A12" s="11" t="inlineStr">
        <is>
          <t>Stage 2: Live Terminal Demo Booked (terminal.aixenergy.io)</t>
        </is>
      </c>
      <c r="B12" s="12" t="n">
        <v>100</v>
      </c>
      <c r="C12" s="12" t="inlineStr">
        <is>
          <t>35%</t>
        </is>
      </c>
      <c r="D12" s="13" t="n">
        <v>35</v>
      </c>
      <c r="E12" s="14" t="inlineStr">
        <is>
          <t>$157,500</t>
        </is>
      </c>
      <c r="F12" s="14" t="inlineStr">
        <is>
          <t>$1,890,000</t>
        </is>
      </c>
    </row>
    <row r="13" ht="22" customHeight="1">
      <c r="A13" s="7" t="inlineStr">
        <is>
          <t>Stage 3: 7-Day Pilot / Free FOA Shred Trial</t>
        </is>
      </c>
      <c r="B13" s="8" t="n">
        <v>35</v>
      </c>
      <c r="C13" s="8" t="inlineStr">
        <is>
          <t>60%</t>
        </is>
      </c>
      <c r="D13" s="9" t="n">
        <v>21</v>
      </c>
      <c r="E13" s="10" t="inlineStr">
        <is>
          <t>$94,500</t>
        </is>
      </c>
      <c r="F13" s="10" t="inlineStr">
        <is>
          <t>$1,134,000</t>
        </is>
      </c>
    </row>
    <row r="14" ht="22" customHeight="1">
      <c r="A14" s="11" t="inlineStr">
        <is>
          <t>Stage 4: Paid Flat Rate Subscriptions Closed ($1,500/seat)</t>
        </is>
      </c>
      <c r="B14" s="12" t="n">
        <v>21</v>
      </c>
      <c r="C14" s="12" t="inlineStr">
        <is>
          <t>70%</t>
        </is>
      </c>
      <c r="D14" s="13" t="n">
        <v>15</v>
      </c>
      <c r="E14" s="14" t="inlineStr">
        <is>
          <t>$67,500</t>
        </is>
      </c>
      <c r="F14" s="14" t="inlineStr">
        <is>
          <t>$810,000</t>
        </is>
      </c>
    </row>
  </sheetData>
  <mergeCells count="9">
    <mergeCell ref="A4:B4"/>
    <mergeCell ref="G4:H4"/>
    <mergeCell ref="E4:F4"/>
    <mergeCell ref="A1:G1"/>
    <mergeCell ref="C5:D5"/>
    <mergeCell ref="A5:B5"/>
    <mergeCell ref="G5:H5"/>
    <mergeCell ref="E5:F5"/>
    <mergeCell ref="C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1"/>
  <sheetViews>
    <sheetView showGridLines="1" workbookViewId="0">
      <selection activeCell="A1" sqref="A1"/>
    </sheetView>
  </sheetViews>
  <sheetFormatPr baseColWidth="8" defaultRowHeight="15"/>
  <cols>
    <col width="12" customWidth="1" min="1" max="1"/>
    <col width="53" customWidth="1" min="2" max="2"/>
    <col width="58" customWidth="1" min="3" max="3"/>
    <col width="23" customWidth="1" min="4" max="4"/>
    <col width="56" customWidth="1" min="5" max="5"/>
    <col width="36" customWidth="1" min="6" max="6"/>
    <col width="17" customWidth="1" min="7" max="7"/>
    <col width="46" customWidth="1" min="8" max="8"/>
    <col width="35" customWidth="1" min="9" max="9"/>
    <col width="20" customWidth="1" min="10" max="10"/>
    <col width="33" customWidth="1" min="11" max="11"/>
    <col width="65" customWidth="1" min="12" max="12"/>
    <col width="65" customWidth="1" min="13" max="13"/>
    <col width="65" customWidth="1" min="14" max="14"/>
    <col width="65" customWidth="1" min="15" max="15"/>
    <col width="33" customWidth="1" min="16" max="16"/>
    <col width="12" customWidth="1" min="17" max="17"/>
    <col width="18" customWidth="1" min="18" max="18"/>
    <col width="19" customWidth="1" min="19" max="19"/>
    <col width="17" customWidth="1" min="20" max="20"/>
    <col width="18" customWidth="1" min="21" max="21"/>
    <col width="36" customWidth="1" min="22" max="22"/>
    <col width="47" customWidth="1" min="23" max="23"/>
    <col width="65" customWidth="1" min="24" max="24"/>
  </cols>
  <sheetData>
    <row r="1" ht="28" customHeight="1">
      <c r="A1" s="15" t="inlineStr">
        <is>
          <t>Lead ID</t>
        </is>
      </c>
      <c r="B1" s="15" t="inlineStr">
        <is>
          <t>Firm Name</t>
        </is>
      </c>
      <c r="C1" s="15" t="inlineStr">
        <is>
          <t>Category</t>
        </is>
      </c>
      <c r="D1" s="15" t="inlineStr">
        <is>
          <t>Contact Name</t>
        </is>
      </c>
      <c r="E1" s="15" t="inlineStr">
        <is>
          <t>Contact Title</t>
        </is>
      </c>
      <c r="F1" s="15" t="inlineStr">
        <is>
          <t>Contact Email</t>
        </is>
      </c>
      <c r="G1" s="15" t="inlineStr">
        <is>
          <t>Contact Phone</t>
        </is>
      </c>
      <c r="H1" s="15" t="inlineStr">
        <is>
          <t>LinkedIn Profile</t>
        </is>
      </c>
      <c r="I1" s="15" t="inlineStr">
        <is>
          <t>Firm Website</t>
        </is>
      </c>
      <c r="J1" s="15" t="inlineStr">
        <is>
          <t>Headquarters</t>
        </is>
      </c>
      <c r="K1" s="15" t="inlineStr">
        <is>
          <t>Headcount</t>
        </is>
      </c>
      <c r="L1" s="15" t="inlineStr">
        <is>
          <t>Primary Target Agencies</t>
        </is>
      </c>
      <c r="M1" s="15" t="inlineStr">
        <is>
          <t>Key Client Sectors</t>
        </is>
      </c>
      <c r="N1" s="15" t="inlineStr">
        <is>
          <t>Urgent Pain Point</t>
        </is>
      </c>
      <c r="O1" s="15" t="inlineStr">
        <is>
          <t>Value Hook</t>
        </is>
      </c>
      <c r="P1" s="15" t="inlineStr">
        <is>
          <t>Pricing Model</t>
        </is>
      </c>
      <c r="Q1" s="15" t="inlineStr">
        <is>
          <t>Est Seats</t>
        </is>
      </c>
      <c r="R1" s="15" t="inlineStr">
        <is>
          <t>Est Monthly Rev</t>
        </is>
      </c>
      <c r="S1" s="15" t="inlineStr">
        <is>
          <t>Est Annual Value</t>
        </is>
      </c>
      <c r="T1" s="15" t="inlineStr">
        <is>
          <t>Sales Velocity</t>
        </is>
      </c>
      <c r="U1" s="15" t="inlineStr">
        <is>
          <t>Outreach Status</t>
        </is>
      </c>
      <c r="V1" s="15" t="inlineStr">
        <is>
          <t>Attachment 1</t>
        </is>
      </c>
      <c r="W1" s="15" t="inlineStr">
        <is>
          <t>Attachment 2</t>
        </is>
      </c>
      <c r="X1" s="15" t="inlineStr">
        <is>
          <t>Attachment 3</t>
        </is>
      </c>
    </row>
    <row r="2" ht="22" customHeight="1">
      <c r="A2" s="8" t="n">
        <v>1</v>
      </c>
      <c r="B2" s="16" t="inlineStr">
        <is>
          <t>Boundary Stone Partners</t>
        </is>
      </c>
      <c r="C2" s="16" t="inlineStr">
        <is>
          <t>Boutique Clean Tech Grant &amp; Federal Strategy</t>
        </is>
      </c>
      <c r="D2" s="16" t="inlineStr">
        <is>
          <t>Brandon Hurlbut</t>
        </is>
      </c>
      <c r="E2" s="16" t="inlineStr">
        <is>
          <t>Co-Founder &amp; Partner</t>
        </is>
      </c>
      <c r="F2" s="16" t="inlineStr">
        <is>
          <t>bhurlbut@boundarystone.com</t>
        </is>
      </c>
      <c r="G2" s="16" t="inlineStr">
        <is>
          <t>(202) 800-4740</t>
        </is>
      </c>
      <c r="H2" s="16" t="inlineStr">
        <is>
          <t>https://linkedin.com/in/brandonhurlbut</t>
        </is>
      </c>
      <c r="I2" s="16" t="inlineStr">
        <is>
          <t>https://boundarystone.com</t>
        </is>
      </c>
      <c r="J2" s="16" t="inlineStr">
        <is>
          <t>Washington, DC</t>
        </is>
      </c>
      <c r="K2" s="16" t="inlineStr">
        <is>
          <t>50-100</t>
        </is>
      </c>
      <c r="L2" s="16" t="inlineStr">
        <is>
          <t>DOE (OCED, LPO, ARPA-E, EERE, FECM), IRA Section 48C / 45X, EPA CPRG</t>
        </is>
      </c>
      <c r="M2" s="16" t="inlineStr">
        <is>
          <t>Series A-D Hardtech, Long-Duration Storage, Clean Hydrogen, Nuclear SMRs</t>
        </is>
      </c>
      <c r="N2" s="16" t="inlineStr">
        <is>
          <t>High client volume requiring rapid FOA decomposition, Community Benefits Plan (CBP) matrix building, and cost-share modeling</t>
        </is>
      </c>
      <c r="O2" s="16" t="inlineStr">
        <is>
          <t>10-second FOA shredder, 5-stage co-investor networks, and predictive grant release forecasting</t>
        </is>
      </c>
      <c r="P2" s="16" t="inlineStr">
        <is>
          <t>$1,500 / seat / mo (Flat Rate)</t>
        </is>
      </c>
      <c r="Q2" s="8" t="n">
        <v>5</v>
      </c>
      <c r="R2" s="17">
        <f>Q2*1500</f>
        <v/>
      </c>
      <c r="S2" s="17">
        <f>R2*12</f>
        <v/>
      </c>
      <c r="T2" s="8" t="inlineStr">
        <is>
          <t>Fast (1-2 wks)</t>
        </is>
      </c>
      <c r="U2" s="16" t="inlineStr">
        <is>
          <t>Ready for Send</t>
        </is>
      </c>
      <c r="V2" s="16" t="inlineStr">
        <is>
          <t>Sample_FOA_Proposal_Blueprint.pdf</t>
        </is>
      </c>
      <c r="W2" s="16" t="inlineStr">
        <is>
          <t>Form_Energy_Capital_Intelligence_Dossier.pdf</t>
        </is>
      </c>
      <c r="X2" s="16" t="inlineStr">
        <is>
          <t>Energy_Innovation_Terminal_by_AIxEnergy_Capabilities_Brief.pdf</t>
        </is>
      </c>
    </row>
    <row r="3" ht="22" customHeight="1">
      <c r="A3" s="12" t="n">
        <v>2</v>
      </c>
      <c r="B3" s="18" t="inlineStr">
        <is>
          <t>Boundary Stone Partners</t>
        </is>
      </c>
      <c r="C3" s="18" t="inlineStr">
        <is>
          <t>Boutique Clean Tech Grant &amp; Federal Strategy</t>
        </is>
      </c>
      <c r="D3" s="18" t="inlineStr">
        <is>
          <t>Jeff Navin</t>
        </is>
      </c>
      <c r="E3" s="18" t="inlineStr">
        <is>
          <t>Co-Founder &amp; Partner</t>
        </is>
      </c>
      <c r="F3" s="18" t="inlineStr">
        <is>
          <t>jnavin@boundarystone.com</t>
        </is>
      </c>
      <c r="G3" s="18" t="inlineStr">
        <is>
          <t>(202) 800-4740</t>
        </is>
      </c>
      <c r="H3" s="18" t="inlineStr">
        <is>
          <t>https://linkedin.com/in/jeffnavin</t>
        </is>
      </c>
      <c r="I3" s="18" t="inlineStr">
        <is>
          <t>https://boundarystone.com</t>
        </is>
      </c>
      <c r="J3" s="18" t="inlineStr">
        <is>
          <t>Washington, DC</t>
        </is>
      </c>
      <c r="K3" s="18" t="inlineStr">
        <is>
          <t>50-100</t>
        </is>
      </c>
      <c r="L3" s="18" t="inlineStr">
        <is>
          <t>DOE (OCED, LPO, ARPA-E, EERE, FECM), IRA Section 48C / 45X, EPA CPRG</t>
        </is>
      </c>
      <c r="M3" s="18" t="inlineStr">
        <is>
          <t>Series A-D Hardtech, Long-Duration Storage, Clean Hydrogen, Nuclear SMRs</t>
        </is>
      </c>
      <c r="N3" s="18" t="inlineStr">
        <is>
          <t>High client volume requiring rapid FOA decomposition, Community Benefits Plan (CBP) matrix building, and cost-share modeling</t>
        </is>
      </c>
      <c r="O3" s="18" t="inlineStr">
        <is>
          <t>10-second FOA shredder, 5-stage co-investor networks, and predictive grant release forecasting</t>
        </is>
      </c>
      <c r="P3" s="18" t="inlineStr">
        <is>
          <t>$1,500 / seat / mo (Flat Rate)</t>
        </is>
      </c>
      <c r="Q3" s="12" t="n">
        <v>5</v>
      </c>
      <c r="R3" s="19">
        <f>Q3*1500</f>
        <v/>
      </c>
      <c r="S3" s="19">
        <f>R3*12</f>
        <v/>
      </c>
      <c r="T3" s="12" t="inlineStr">
        <is>
          <t>Fast (1-2 wks)</t>
        </is>
      </c>
      <c r="U3" s="18" t="inlineStr">
        <is>
          <t>Ready for Send</t>
        </is>
      </c>
      <c r="V3" s="18" t="inlineStr">
        <is>
          <t>Sample_FOA_Proposal_Blueprint.pdf</t>
        </is>
      </c>
      <c r="W3" s="18" t="inlineStr">
        <is>
          <t>Form_Energy_Capital_Intelligence_Dossier.pdf</t>
        </is>
      </c>
      <c r="X3" s="18" t="inlineStr">
        <is>
          <t>Energy_Innovation_Terminal_by_AIxEnergy_Capabilities_Brief.pdf</t>
        </is>
      </c>
    </row>
    <row r="4" ht="22" customHeight="1">
      <c r="A4" s="8" t="n">
        <v>3</v>
      </c>
      <c r="B4" s="16" t="inlineStr">
        <is>
          <t>Boundary Stone Partners</t>
        </is>
      </c>
      <c r="C4" s="16" t="inlineStr">
        <is>
          <t>Boutique Clean Tech Grant &amp; Federal Strategy</t>
        </is>
      </c>
      <c r="D4" s="16" t="inlineStr">
        <is>
          <t>Christine Turner</t>
        </is>
      </c>
      <c r="E4" s="16" t="inlineStr">
        <is>
          <t>Partner, Clean Tech Practice</t>
        </is>
      </c>
      <c r="F4" s="16" t="inlineStr">
        <is>
          <t>cturner@boundarystone.com</t>
        </is>
      </c>
      <c r="G4" s="16" t="inlineStr">
        <is>
          <t>(202) 800-4740</t>
        </is>
      </c>
      <c r="H4" s="16" t="inlineStr">
        <is>
          <t>https://linkedin.com/in/christineturner</t>
        </is>
      </c>
      <c r="I4" s="16" t="inlineStr">
        <is>
          <t>https://boundarystone.com</t>
        </is>
      </c>
      <c r="J4" s="16" t="inlineStr">
        <is>
          <t>Washington, DC</t>
        </is>
      </c>
      <c r="K4" s="16" t="inlineStr">
        <is>
          <t>50-100</t>
        </is>
      </c>
      <c r="L4" s="16" t="inlineStr">
        <is>
          <t>DOE (OCED, LPO, ARPA-E, EERE, FECM), IRA Section 48C / 45X, EPA CPRG</t>
        </is>
      </c>
      <c r="M4" s="16" t="inlineStr">
        <is>
          <t>Series A-D Hardtech, Long-Duration Storage, Clean Hydrogen, Nuclear SMRs</t>
        </is>
      </c>
      <c r="N4" s="16" t="inlineStr">
        <is>
          <t>High client volume requiring rapid FOA decomposition, Community Benefits Plan (CBP) matrix building, and cost-share modeling</t>
        </is>
      </c>
      <c r="O4" s="16" t="inlineStr">
        <is>
          <t>10-second FOA shredder, 5-stage co-investor networks, and predictive grant release forecasting</t>
        </is>
      </c>
      <c r="P4" s="16" t="inlineStr">
        <is>
          <t>$1,500 / seat / mo (Flat Rate)</t>
        </is>
      </c>
      <c r="Q4" s="8" t="n">
        <v>5</v>
      </c>
      <c r="R4" s="17">
        <f>Q4*1500</f>
        <v/>
      </c>
      <c r="S4" s="17">
        <f>R4*12</f>
        <v/>
      </c>
      <c r="T4" s="8" t="inlineStr">
        <is>
          <t>Fast (1-2 wks)</t>
        </is>
      </c>
      <c r="U4" s="16" t="inlineStr">
        <is>
          <t>Ready for Send</t>
        </is>
      </c>
      <c r="V4" s="16" t="inlineStr">
        <is>
          <t>Sample_FOA_Proposal_Blueprint.pdf</t>
        </is>
      </c>
      <c r="W4" s="16" t="inlineStr">
        <is>
          <t>Form_Energy_Capital_Intelligence_Dossier.pdf</t>
        </is>
      </c>
      <c r="X4" s="16" t="inlineStr">
        <is>
          <t>Energy_Innovation_Terminal_by_AIxEnergy_Capabilities_Brief.pdf</t>
        </is>
      </c>
    </row>
    <row r="5" ht="22" customHeight="1">
      <c r="A5" s="12" t="n">
        <v>4</v>
      </c>
      <c r="B5" s="18" t="inlineStr">
        <is>
          <t>McAllister &amp; Quinn</t>
        </is>
      </c>
      <c r="C5" s="18" t="inlineStr">
        <is>
          <t>Federal Grant Consulting &amp; Higher-Ed Consortia</t>
        </is>
      </c>
      <c r="D5" s="18" t="inlineStr">
        <is>
          <t>Michael McAllister</t>
        </is>
      </c>
      <c r="E5" s="18" t="inlineStr">
        <is>
          <t>Managing Partner &amp; Co-Founder</t>
        </is>
      </c>
      <c r="F5" s="18" t="inlineStr">
        <is>
          <t>mmcallister@jm-aq.com</t>
        </is>
      </c>
      <c r="G5" s="18" t="inlineStr">
        <is>
          <t>(202) 296-2722</t>
        </is>
      </c>
      <c r="H5" s="18" t="inlineStr">
        <is>
          <t>https://linkedin.com/in/michaelmcallister</t>
        </is>
      </c>
      <c r="I5" s="18" t="inlineStr">
        <is>
          <t>https://jm-aq.com</t>
        </is>
      </c>
      <c r="J5" s="18" t="inlineStr">
        <is>
          <t>Washington, DC</t>
        </is>
      </c>
      <c r="K5" s="18" t="inlineStr">
        <is>
          <t>80-150</t>
        </is>
      </c>
      <c r="L5" s="18" t="inlineStr">
        <is>
          <t>DOE, NSF, DOD (DARPA/DIU), USDA, NIH</t>
        </is>
      </c>
      <c r="M5" s="18" t="inlineStr">
        <is>
          <t>Research Universities, Hardtech Consortia, Energy Startups, Defense Contractors</t>
        </is>
      </c>
      <c r="N5" s="18" t="inlineStr">
        <is>
          <t>Matching academic researchers with commercial energy partners and building multi-institution teaming matrices under tight deadlines</t>
        </is>
      </c>
      <c r="O5" s="18" t="inlineStr">
        <is>
          <t>Instant agency historical award ledger search across 50,000+ past recipients and deterministic teaming gap analysis</t>
        </is>
      </c>
      <c r="P5" s="18" t="inlineStr">
        <is>
          <t>$1,500 / seat / mo (Flat Rate)</t>
        </is>
      </c>
      <c r="Q5" s="12" t="n">
        <v>5</v>
      </c>
      <c r="R5" s="19">
        <f>Q5*1500</f>
        <v/>
      </c>
      <c r="S5" s="19">
        <f>R5*12</f>
        <v/>
      </c>
      <c r="T5" s="12" t="inlineStr">
        <is>
          <t>Fast (1-2 wks)</t>
        </is>
      </c>
      <c r="U5" s="18" t="inlineStr">
        <is>
          <t>Ready for Send</t>
        </is>
      </c>
      <c r="V5" s="18" t="inlineStr">
        <is>
          <t>Sample_FOA_Proposal_Blueprint.pdf</t>
        </is>
      </c>
      <c r="W5" s="18" t="inlineStr">
        <is>
          <t>Form_Energy_Capital_Intelligence_Dossier.pdf</t>
        </is>
      </c>
      <c r="X5" s="18" t="inlineStr">
        <is>
          <t>Energy_Innovation_Terminal_by_AIxEnergy_Capabilities_Brief.pdf</t>
        </is>
      </c>
    </row>
    <row r="6" ht="22" customHeight="1">
      <c r="A6" s="8" t="n">
        <v>5</v>
      </c>
      <c r="B6" s="16" t="inlineStr">
        <is>
          <t>McAllister &amp; Quinn</t>
        </is>
      </c>
      <c r="C6" s="16" t="inlineStr">
        <is>
          <t>Federal Grant Consulting &amp; Higher-Ed Consortia</t>
        </is>
      </c>
      <c r="D6" s="16" t="inlineStr">
        <is>
          <t>Andrew Quinn</t>
        </is>
      </c>
      <c r="E6" s="16" t="inlineStr">
        <is>
          <t>Managing Partner &amp; Co-Founder</t>
        </is>
      </c>
      <c r="F6" s="16" t="inlineStr">
        <is>
          <t>aquinn@jm-aq.com</t>
        </is>
      </c>
      <c r="G6" s="16" t="inlineStr">
        <is>
          <t>(202) 296-2722</t>
        </is>
      </c>
      <c r="H6" s="16" t="inlineStr">
        <is>
          <t>https://linkedin.com/in/andrewquinn</t>
        </is>
      </c>
      <c r="I6" s="16" t="inlineStr">
        <is>
          <t>https://jm-aq.com</t>
        </is>
      </c>
      <c r="J6" s="16" t="inlineStr">
        <is>
          <t>Washington, DC</t>
        </is>
      </c>
      <c r="K6" s="16" t="inlineStr">
        <is>
          <t>80-150</t>
        </is>
      </c>
      <c r="L6" s="16" t="inlineStr">
        <is>
          <t>DOE, NSF, DOD (DARPA/DIU), USDA, NIH</t>
        </is>
      </c>
      <c r="M6" s="16" t="inlineStr">
        <is>
          <t>Research Universities, Hardtech Consortia, Energy Startups, Defense Contractors</t>
        </is>
      </c>
      <c r="N6" s="16" t="inlineStr">
        <is>
          <t>Matching academic researchers with commercial energy partners and building multi-institution teaming matrices under tight deadlines</t>
        </is>
      </c>
      <c r="O6" s="16" t="inlineStr">
        <is>
          <t>Instant agency historical award ledger search across 50,000+ past recipients and deterministic teaming gap analysis</t>
        </is>
      </c>
      <c r="P6" s="16" t="inlineStr">
        <is>
          <t>$1,500 / seat / mo (Flat Rate)</t>
        </is>
      </c>
      <c r="Q6" s="8" t="n">
        <v>5</v>
      </c>
      <c r="R6" s="17">
        <f>Q6*1500</f>
        <v/>
      </c>
      <c r="S6" s="17">
        <f>R6*12</f>
        <v/>
      </c>
      <c r="T6" s="8" t="inlineStr">
        <is>
          <t>Fast (1-2 wks)</t>
        </is>
      </c>
      <c r="U6" s="16" t="inlineStr">
        <is>
          <t>Ready for Send</t>
        </is>
      </c>
      <c r="V6" s="16" t="inlineStr">
        <is>
          <t>Sample_FOA_Proposal_Blueprint.pdf</t>
        </is>
      </c>
      <c r="W6" s="16" t="inlineStr">
        <is>
          <t>Form_Energy_Capital_Intelligence_Dossier.pdf</t>
        </is>
      </c>
      <c r="X6" s="16" t="inlineStr">
        <is>
          <t>Energy_Innovation_Terminal_by_AIxEnergy_Capabilities_Brief.pdf</t>
        </is>
      </c>
    </row>
    <row r="7" ht="22" customHeight="1">
      <c r="A7" s="12" t="n">
        <v>6</v>
      </c>
      <c r="B7" s="18" t="inlineStr">
        <is>
          <t>McAllister &amp; Quinn</t>
        </is>
      </c>
      <c r="C7" s="18" t="inlineStr">
        <is>
          <t>Federal Grant Consulting &amp; Higher-Ed Consortia</t>
        </is>
      </c>
      <c r="D7" s="18" t="inlineStr">
        <is>
          <t>Jessica Bowron</t>
        </is>
      </c>
      <c r="E7" s="18" t="inlineStr">
        <is>
          <t>Managing Director, Energy &amp; Defense</t>
        </is>
      </c>
      <c r="F7" s="18" t="inlineStr">
        <is>
          <t>jbowron@jm-aq.com</t>
        </is>
      </c>
      <c r="G7" s="18" t="inlineStr">
        <is>
          <t>(202) 296-2722</t>
        </is>
      </c>
      <c r="H7" s="18" t="inlineStr">
        <is>
          <t>https://linkedin.com/in/jessicabowron</t>
        </is>
      </c>
      <c r="I7" s="18" t="inlineStr">
        <is>
          <t>https://jm-aq.com</t>
        </is>
      </c>
      <c r="J7" s="18" t="inlineStr">
        <is>
          <t>Washington, DC</t>
        </is>
      </c>
      <c r="K7" s="18" t="inlineStr">
        <is>
          <t>80-150</t>
        </is>
      </c>
      <c r="L7" s="18" t="inlineStr">
        <is>
          <t>DOE, NSF, DOD (DARPA/DIU), USDA, NIH</t>
        </is>
      </c>
      <c r="M7" s="18" t="inlineStr">
        <is>
          <t>Research Universities, Hardtech Consortia, Energy Startups, Defense Contractors</t>
        </is>
      </c>
      <c r="N7" s="18" t="inlineStr">
        <is>
          <t>Matching academic researchers with commercial energy partners and building multi-institution teaming matrices under tight deadlines</t>
        </is>
      </c>
      <c r="O7" s="18" t="inlineStr">
        <is>
          <t>Instant agency historical award ledger search across 50,000+ past recipients and deterministic teaming gap analysis</t>
        </is>
      </c>
      <c r="P7" s="18" t="inlineStr">
        <is>
          <t>$1,500 / seat / mo (Flat Rate)</t>
        </is>
      </c>
      <c r="Q7" s="12" t="n">
        <v>5</v>
      </c>
      <c r="R7" s="19">
        <f>Q7*1500</f>
        <v/>
      </c>
      <c r="S7" s="19">
        <f>R7*12</f>
        <v/>
      </c>
      <c r="T7" s="12" t="inlineStr">
        <is>
          <t>Fast (1-2 wks)</t>
        </is>
      </c>
      <c r="U7" s="18" t="inlineStr">
        <is>
          <t>Ready for Send</t>
        </is>
      </c>
      <c r="V7" s="18" t="inlineStr">
        <is>
          <t>Sample_FOA_Proposal_Blueprint.pdf</t>
        </is>
      </c>
      <c r="W7" s="18" t="inlineStr">
        <is>
          <t>Form_Energy_Capital_Intelligence_Dossier.pdf</t>
        </is>
      </c>
      <c r="X7" s="18" t="inlineStr">
        <is>
          <t>Energy_Innovation_Terminal_by_AIxEnergy_Capabilities_Brief.pdf</t>
        </is>
      </c>
    </row>
    <row r="8" ht="22" customHeight="1">
      <c r="A8" s="8" t="n">
        <v>7</v>
      </c>
      <c r="B8" s="16" t="inlineStr">
        <is>
          <t>Lewis-Burke Associates LLC</t>
        </is>
      </c>
      <c r="C8" s="16" t="inlineStr">
        <is>
          <t>Government Relations &amp; National Lab Strategy</t>
        </is>
      </c>
      <c r="D8" s="16" t="inlineStr">
        <is>
          <t>April Burke</t>
        </is>
      </c>
      <c r="E8" s="16" t="inlineStr">
        <is>
          <t>President &amp; Founder</t>
        </is>
      </c>
      <c r="F8" s="16" t="inlineStr">
        <is>
          <t>april@lewis-burke.com</t>
        </is>
      </c>
      <c r="G8" s="16" t="inlineStr">
        <is>
          <t>(202) 289-7475</t>
        </is>
      </c>
      <c r="H8" s="16" t="inlineStr">
        <is>
          <t>https://linkedin.com/in/aprilburke</t>
        </is>
      </c>
      <c r="I8" s="16" t="inlineStr">
        <is>
          <t>https://lewis-burke.com</t>
        </is>
      </c>
      <c r="J8" s="16" t="inlineStr">
        <is>
          <t>Washington, DC</t>
        </is>
      </c>
      <c r="K8" s="16" t="inlineStr">
        <is>
          <t>40-70</t>
        </is>
      </c>
      <c r="L8" s="16" t="inlineStr">
        <is>
          <t>DOE Office of Science, ARPA-E, National Labs, NSF TIP</t>
        </is>
      </c>
      <c r="M8" s="16" t="inlineStr">
        <is>
          <t>National Laboratories, Leading STEM Research Universities, Clean Tech Consortia</t>
        </is>
      </c>
      <c r="N8" s="16" t="inlineStr">
        <is>
          <t>Tracking upcoming solicitations before official FOA release and monitoring agency budget allocations across federal dockets</t>
        </is>
      </c>
      <c r="O8" s="16" t="inlineStr">
        <is>
          <t>Predictive FOA release forecasting, national lab testbed access, and Bayh-Dole patent linkages</t>
        </is>
      </c>
      <c r="P8" s="16" t="inlineStr">
        <is>
          <t>$1,500 / seat / mo (Flat Rate)</t>
        </is>
      </c>
      <c r="Q8" s="8" t="n">
        <v>5</v>
      </c>
      <c r="R8" s="17">
        <f>Q8*1500</f>
        <v/>
      </c>
      <c r="S8" s="17">
        <f>R8*12</f>
        <v/>
      </c>
      <c r="T8" s="8" t="inlineStr">
        <is>
          <t>Fast (1-2 wks)</t>
        </is>
      </c>
      <c r="U8" s="16" t="inlineStr">
        <is>
          <t>Ready for Send</t>
        </is>
      </c>
      <c r="V8" s="16" t="inlineStr">
        <is>
          <t>Sample_FOA_Proposal_Blueprint.pdf</t>
        </is>
      </c>
      <c r="W8" s="16" t="inlineStr">
        <is>
          <t>Form_Energy_Capital_Intelligence_Dossier.pdf</t>
        </is>
      </c>
      <c r="X8" s="16" t="inlineStr">
        <is>
          <t>Energy_Innovation_Terminal_by_AIxEnergy_Capabilities_Brief.pdf</t>
        </is>
      </c>
    </row>
    <row r="9" ht="22" customHeight="1">
      <c r="A9" s="12" t="n">
        <v>8</v>
      </c>
      <c r="B9" s="18" t="inlineStr">
        <is>
          <t>Lewis-Burke Associates LLC</t>
        </is>
      </c>
      <c r="C9" s="18" t="inlineStr">
        <is>
          <t>Government Relations &amp; National Lab Strategy</t>
        </is>
      </c>
      <c r="D9" s="18" t="inlineStr">
        <is>
          <t>Jack Miller</t>
        </is>
      </c>
      <c r="E9" s="18" t="inlineStr">
        <is>
          <t>Vice President, Energy Practice</t>
        </is>
      </c>
      <c r="F9" s="18" t="inlineStr">
        <is>
          <t>jack@lewis-burke.com</t>
        </is>
      </c>
      <c r="G9" s="18" t="inlineStr">
        <is>
          <t>(202) 289-7475</t>
        </is>
      </c>
      <c r="H9" s="18" t="inlineStr">
        <is>
          <t>https://linkedin.com/in/jackmiller</t>
        </is>
      </c>
      <c r="I9" s="18" t="inlineStr">
        <is>
          <t>https://lewis-burke.com</t>
        </is>
      </c>
      <c r="J9" s="18" t="inlineStr">
        <is>
          <t>Washington, DC</t>
        </is>
      </c>
      <c r="K9" s="18" t="inlineStr">
        <is>
          <t>40-70</t>
        </is>
      </c>
      <c r="L9" s="18" t="inlineStr">
        <is>
          <t>DOE Office of Science, ARPA-E, National Labs, NSF TIP</t>
        </is>
      </c>
      <c r="M9" s="18" t="inlineStr">
        <is>
          <t>National Laboratories, Leading STEM Research Universities, Clean Tech Consortia</t>
        </is>
      </c>
      <c r="N9" s="18" t="inlineStr">
        <is>
          <t>Tracking upcoming solicitations before official FOA release and monitoring agency budget allocations across federal dockets</t>
        </is>
      </c>
      <c r="O9" s="18" t="inlineStr">
        <is>
          <t>Predictive FOA release forecasting, national lab testbed access, and Bayh-Dole patent linkages</t>
        </is>
      </c>
      <c r="P9" s="18" t="inlineStr">
        <is>
          <t>$1,500 / seat / mo (Flat Rate)</t>
        </is>
      </c>
      <c r="Q9" s="12" t="n">
        <v>5</v>
      </c>
      <c r="R9" s="19">
        <f>Q9*1500</f>
        <v/>
      </c>
      <c r="S9" s="19">
        <f>R9*12</f>
        <v/>
      </c>
      <c r="T9" s="12" t="inlineStr">
        <is>
          <t>Fast (1-2 wks)</t>
        </is>
      </c>
      <c r="U9" s="18" t="inlineStr">
        <is>
          <t>Ready for Send</t>
        </is>
      </c>
      <c r="V9" s="18" t="inlineStr">
        <is>
          <t>Sample_FOA_Proposal_Blueprint.pdf</t>
        </is>
      </c>
      <c r="W9" s="18" t="inlineStr">
        <is>
          <t>Form_Energy_Capital_Intelligence_Dossier.pdf</t>
        </is>
      </c>
      <c r="X9" s="18" t="inlineStr">
        <is>
          <t>Energy_Innovation_Terminal_by_AIxEnergy_Capabilities_Brief.pdf</t>
        </is>
      </c>
    </row>
    <row r="10" ht="22" customHeight="1">
      <c r="A10" s="8" t="n">
        <v>9</v>
      </c>
      <c r="B10" s="16" t="inlineStr">
        <is>
          <t>Strategic Marketing Innovations (SMI)</t>
        </is>
      </c>
      <c r="C10" s="16" t="inlineStr">
        <is>
          <t>Defense &amp; Energy Tech Commercialization</t>
        </is>
      </c>
      <c r="D10" s="16" t="inlineStr">
        <is>
          <t>Ken Gidney</t>
        </is>
      </c>
      <c r="E10" s="16" t="inlineStr">
        <is>
          <t>Managing Director</t>
        </is>
      </c>
      <c r="F10" s="16" t="inlineStr">
        <is>
          <t>kgidney@strategicmi.com</t>
        </is>
      </c>
      <c r="G10" s="16" t="inlineStr">
        <is>
          <t>(202) 467-5459</t>
        </is>
      </c>
      <c r="H10" s="16" t="inlineStr">
        <is>
          <t>https://linkedin.com/in/kengidney</t>
        </is>
      </c>
      <c r="I10" s="16" t="inlineStr">
        <is>
          <t>https://strategicmi.com</t>
        </is>
      </c>
      <c r="J10" s="16" t="inlineStr">
        <is>
          <t>Washington, DC</t>
        </is>
      </c>
      <c r="K10" s="16" t="inlineStr">
        <is>
          <t>30-60</t>
        </is>
      </c>
      <c r="L10" s="16" t="inlineStr">
        <is>
          <t>DOD (DARPA, ONR, AFRL), DOE EERE, ARPA-E, SBIR/STTR Phase I/II/III</t>
        </is>
      </c>
      <c r="M10" s="16" t="inlineStr">
        <is>
          <t>Defense Dual-Use Hardware, Advanced Materials, Grid Security Startups</t>
        </is>
      </c>
      <c r="N10" s="16" t="inlineStr">
        <is>
          <t>Managing multi-volume proposal responses (Technical, SOPO, Budget) with complex federal cost accounting and commercialization roadmaps</t>
        </is>
      </c>
      <c r="O10" s="16" t="inlineStr">
        <is>
          <t>4-part automated proposal blueprint with mandatory compliance stage gates and red-team fatal flaw checklists</t>
        </is>
      </c>
      <c r="P10" s="16" t="inlineStr">
        <is>
          <t>$1,500 / seat / mo (Flat Rate)</t>
        </is>
      </c>
      <c r="Q10" s="8" t="n">
        <v>5</v>
      </c>
      <c r="R10" s="17">
        <f>Q10*1500</f>
        <v/>
      </c>
      <c r="S10" s="17">
        <f>R10*12</f>
        <v/>
      </c>
      <c r="T10" s="8" t="inlineStr">
        <is>
          <t>Fast (1-2 wks)</t>
        </is>
      </c>
      <c r="U10" s="16" t="inlineStr">
        <is>
          <t>Ready for Send</t>
        </is>
      </c>
      <c r="V10" s="16" t="inlineStr">
        <is>
          <t>Sample_FOA_Proposal_Blueprint.pdf</t>
        </is>
      </c>
      <c r="W10" s="16" t="inlineStr">
        <is>
          <t>Form_Energy_Capital_Intelligence_Dossier.pdf</t>
        </is>
      </c>
      <c r="X10" s="16" t="inlineStr">
        <is>
          <t>Energy_Innovation_Terminal_by_AIxEnergy_Capabilities_Brief.pdf</t>
        </is>
      </c>
    </row>
    <row r="11" ht="22" customHeight="1">
      <c r="A11" s="12" t="n">
        <v>10</v>
      </c>
      <c r="B11" s="18" t="inlineStr">
        <is>
          <t>Strategic Marketing Innovations (SMI)</t>
        </is>
      </c>
      <c r="C11" s="18" t="inlineStr">
        <is>
          <t>Defense &amp; Energy Tech Commercialization</t>
        </is>
      </c>
      <c r="D11" s="18" t="inlineStr">
        <is>
          <t>Bill D'Agostino</t>
        </is>
      </c>
      <c r="E11" s="18" t="inlineStr">
        <is>
          <t>Senior VP, Clean Energy</t>
        </is>
      </c>
      <c r="F11" s="18" t="inlineStr">
        <is>
          <t>bdagostino@strategicmi.com</t>
        </is>
      </c>
      <c r="G11" s="18" t="inlineStr">
        <is>
          <t>(202) 467-5459</t>
        </is>
      </c>
      <c r="H11" s="18" t="inlineStr">
        <is>
          <t>https://linkedin.com/in/billd'agostino</t>
        </is>
      </c>
      <c r="I11" s="18" t="inlineStr">
        <is>
          <t>https://strategicmi.com</t>
        </is>
      </c>
      <c r="J11" s="18" t="inlineStr">
        <is>
          <t>Washington, DC</t>
        </is>
      </c>
      <c r="K11" s="18" t="inlineStr">
        <is>
          <t>30-60</t>
        </is>
      </c>
      <c r="L11" s="18" t="inlineStr">
        <is>
          <t>DOD (DARPA, ONR, AFRL), DOE EERE, ARPA-E, SBIR/STTR Phase I/II/III</t>
        </is>
      </c>
      <c r="M11" s="18" t="inlineStr">
        <is>
          <t>Defense Dual-Use Hardware, Advanced Materials, Grid Security Startups</t>
        </is>
      </c>
      <c r="N11" s="18" t="inlineStr">
        <is>
          <t>Managing multi-volume proposal responses (Technical, SOPO, Budget) with complex federal cost accounting and commercialization roadmaps</t>
        </is>
      </c>
      <c r="O11" s="18" t="inlineStr">
        <is>
          <t>4-part automated proposal blueprint with mandatory compliance stage gates and red-team fatal flaw checklists</t>
        </is>
      </c>
      <c r="P11" s="18" t="inlineStr">
        <is>
          <t>$1,500 / seat / mo (Flat Rate)</t>
        </is>
      </c>
      <c r="Q11" s="12" t="n">
        <v>5</v>
      </c>
      <c r="R11" s="19">
        <f>Q11*1500</f>
        <v/>
      </c>
      <c r="S11" s="19">
        <f>R11*12</f>
        <v/>
      </c>
      <c r="T11" s="12" t="inlineStr">
        <is>
          <t>Fast (1-2 wks)</t>
        </is>
      </c>
      <c r="U11" s="18" t="inlineStr">
        <is>
          <t>Ready for Send</t>
        </is>
      </c>
      <c r="V11" s="18" t="inlineStr">
        <is>
          <t>Sample_FOA_Proposal_Blueprint.pdf</t>
        </is>
      </c>
      <c r="W11" s="18" t="inlineStr">
        <is>
          <t>Form_Energy_Capital_Intelligence_Dossier.pdf</t>
        </is>
      </c>
      <c r="X11" s="18" t="inlineStr">
        <is>
          <t>Energy_Innovation_Terminal_by_AIxEnergy_Capabilities_Brief.pdf</t>
        </is>
      </c>
    </row>
    <row r="12" ht="22" customHeight="1">
      <c r="A12" s="8" t="n">
        <v>11</v>
      </c>
      <c r="B12" s="16" t="inlineStr">
        <is>
          <t>Cleantech Group</t>
        </is>
      </c>
      <c r="C12" s="16" t="inlineStr">
        <is>
          <t>Global Cleantech Market Intelligence &amp; Advisory</t>
        </is>
      </c>
      <c r="D12" s="16" t="inlineStr">
        <is>
          <t>Richard Youngman</t>
        </is>
      </c>
      <c r="E12" s="16" t="inlineStr">
        <is>
          <t>CEO</t>
        </is>
      </c>
      <c r="F12" s="16" t="inlineStr">
        <is>
          <t>richard.youngman@cleantech.com</t>
        </is>
      </c>
      <c r="G12" s="16" t="inlineStr">
        <is>
          <t>(415) 233-9700</t>
        </is>
      </c>
      <c r="H12" s="16" t="inlineStr">
        <is>
          <t>https://linkedin.com/in/richardyoungman</t>
        </is>
      </c>
      <c r="I12" s="16" t="inlineStr">
        <is>
          <t>https://cleantech.com</t>
        </is>
      </c>
      <c r="J12" s="16" t="inlineStr">
        <is>
          <t>San Francisco, CA</t>
        </is>
      </c>
      <c r="K12" s="16" t="inlineStr">
        <is>
          <t>50-100</t>
        </is>
      </c>
      <c r="L12" s="16" t="inlineStr">
        <is>
          <t>Global Public-Private Grant Programs, DOE, EU Horizon Europe, CEC EPIC</t>
        </is>
      </c>
      <c r="M12" s="16" t="inlineStr">
        <is>
          <t>Global Clean Tech 100, Climate VCs, Corporate CVCs, Growth Startups</t>
        </is>
      </c>
      <c r="N12" s="16" t="inlineStr">
        <is>
          <t>Synthesizing non-dilutive grant capital alongside private venture rounds and SEC filings into unified market reports</t>
        </is>
      </c>
      <c r="O12" s="16" t="inlineStr">
        <is>
          <t>Unified 5-Stage Capital Continuum (Grants + SEC Form D + VC Rounds + LPO Debt + Patents) in single-click PDF export</t>
        </is>
      </c>
      <c r="P12" s="16" t="inlineStr">
        <is>
          <t>$1,500 / seat / mo (Flat Rate)</t>
        </is>
      </c>
      <c r="Q12" s="8" t="n">
        <v>5</v>
      </c>
      <c r="R12" s="17">
        <f>Q12*1500</f>
        <v/>
      </c>
      <c r="S12" s="17">
        <f>R12*12</f>
        <v/>
      </c>
      <c r="T12" s="8" t="inlineStr">
        <is>
          <t>Fast (1-2 wks)</t>
        </is>
      </c>
      <c r="U12" s="16" t="inlineStr">
        <is>
          <t>Ready for Send</t>
        </is>
      </c>
      <c r="V12" s="16" t="inlineStr">
        <is>
          <t>Sample_FOA_Proposal_Blueprint.pdf</t>
        </is>
      </c>
      <c r="W12" s="16" t="inlineStr">
        <is>
          <t>Form_Energy_Capital_Intelligence_Dossier.pdf</t>
        </is>
      </c>
      <c r="X12" s="16" t="inlineStr">
        <is>
          <t>Energy_Innovation_Terminal_by_AIxEnergy_Capabilities_Brief.pdf</t>
        </is>
      </c>
    </row>
    <row r="13" ht="22" customHeight="1">
      <c r="A13" s="12" t="n">
        <v>12</v>
      </c>
      <c r="B13" s="18" t="inlineStr">
        <is>
          <t>Cleantech Group</t>
        </is>
      </c>
      <c r="C13" s="18" t="inlineStr">
        <is>
          <t>Global Cleantech Market Intelligence &amp; Advisory</t>
        </is>
      </c>
      <c r="D13" s="18" t="inlineStr">
        <is>
          <t>Todd Allmendinger</t>
        </is>
      </c>
      <c r="E13" s="18" t="inlineStr">
        <is>
          <t>Director of Research</t>
        </is>
      </c>
      <c r="F13" s="18" t="inlineStr">
        <is>
          <t>todd.allmendinger@cleantech.com</t>
        </is>
      </c>
      <c r="G13" s="18" t="inlineStr">
        <is>
          <t>(415) 233-9700</t>
        </is>
      </c>
      <c r="H13" s="18" t="inlineStr">
        <is>
          <t>https://linkedin.com/in/toddallmendinger</t>
        </is>
      </c>
      <c r="I13" s="18" t="inlineStr">
        <is>
          <t>https://cleantech.com</t>
        </is>
      </c>
      <c r="J13" s="18" t="inlineStr">
        <is>
          <t>San Francisco, CA</t>
        </is>
      </c>
      <c r="K13" s="18" t="inlineStr">
        <is>
          <t>50-100</t>
        </is>
      </c>
      <c r="L13" s="18" t="inlineStr">
        <is>
          <t>Global Public-Private Grant Programs, DOE, EU Horizon Europe, CEC EPIC</t>
        </is>
      </c>
      <c r="M13" s="18" t="inlineStr">
        <is>
          <t>Global Clean Tech 100, Climate VCs, Corporate CVCs, Growth Startups</t>
        </is>
      </c>
      <c r="N13" s="18" t="inlineStr">
        <is>
          <t>Synthesizing non-dilutive grant capital alongside private venture rounds and SEC filings into unified market reports</t>
        </is>
      </c>
      <c r="O13" s="18" t="inlineStr">
        <is>
          <t>Unified 5-Stage Capital Continuum (Grants + SEC Form D + VC Rounds + LPO Debt + Patents) in single-click PDF export</t>
        </is>
      </c>
      <c r="P13" s="18" t="inlineStr">
        <is>
          <t>$1,500 / seat / mo (Flat Rate)</t>
        </is>
      </c>
      <c r="Q13" s="12" t="n">
        <v>5</v>
      </c>
      <c r="R13" s="19">
        <f>Q13*1500</f>
        <v/>
      </c>
      <c r="S13" s="19">
        <f>R13*12</f>
        <v/>
      </c>
      <c r="T13" s="12" t="inlineStr">
        <is>
          <t>Fast (1-2 wks)</t>
        </is>
      </c>
      <c r="U13" s="18" t="inlineStr">
        <is>
          <t>Ready for Send</t>
        </is>
      </c>
      <c r="V13" s="18" t="inlineStr">
        <is>
          <t>Sample_FOA_Proposal_Blueprint.pdf</t>
        </is>
      </c>
      <c r="W13" s="18" t="inlineStr">
        <is>
          <t>Form_Energy_Capital_Intelligence_Dossier.pdf</t>
        </is>
      </c>
      <c r="X13" s="18" t="inlineStr">
        <is>
          <t>Energy_Innovation_Terminal_by_AIxEnergy_Capabilities_Brief.pdf</t>
        </is>
      </c>
    </row>
    <row r="14" ht="22" customHeight="1">
      <c r="A14" s="8" t="n">
        <v>13</v>
      </c>
      <c r="B14" s="16" t="inlineStr">
        <is>
          <t>Pioneer Public Affairs</t>
        </is>
      </c>
      <c r="C14" s="16" t="inlineStr">
        <is>
          <t>Climate Policy &amp; Clean Energy Procurement</t>
        </is>
      </c>
      <c r="D14" s="16" t="inlineStr">
        <is>
          <t>Joe Bryan</t>
        </is>
      </c>
      <c r="E14" s="16" t="inlineStr">
        <is>
          <t>Principal &amp; Co-Founder</t>
        </is>
      </c>
      <c r="F14" s="16" t="inlineStr">
        <is>
          <t>joe@pioneerpublicaffairs.com</t>
        </is>
      </c>
      <c r="G14" s="16" t="inlineStr">
        <is>
          <t>(202) 750-1770</t>
        </is>
      </c>
      <c r="H14" s="16" t="inlineStr">
        <is>
          <t>https://linkedin.com/in/joebryan</t>
        </is>
      </c>
      <c r="I14" s="16" t="inlineStr">
        <is>
          <t>https://pioneerpublicaffairs.com</t>
        </is>
      </c>
      <c r="J14" s="16" t="inlineStr">
        <is>
          <t>Washington, DC</t>
        </is>
      </c>
      <c r="K14" s="16" t="inlineStr">
        <is>
          <t>20-40</t>
        </is>
      </c>
      <c r="L14" s="16" t="inlineStr">
        <is>
          <t>DOE, EPA, DOD Clean Energy, Treasury IRA Programs</t>
        </is>
      </c>
      <c r="M14" s="16" t="inlineStr">
        <is>
          <t>Climate Tech Unicorns, Clean Heavy Industry, EV Fleet Operators</t>
        </is>
      </c>
      <c r="N14" s="16" t="inlineStr">
        <is>
          <t>Navigating statutory compliance clauses (Buy America, Prevailing Wage, Justice40) for rapid client advisory</t>
        </is>
      </c>
      <c r="O14" s="16" t="inlineStr">
        <is>
          <t>Automated extraction of statutory restrictions, DAC targeting, and cost-share waiver rules across solicitations</t>
        </is>
      </c>
      <c r="P14" s="16" t="inlineStr">
        <is>
          <t>$1,500 / seat / mo (Flat Rate)</t>
        </is>
      </c>
      <c r="Q14" s="8" t="n">
        <v>5</v>
      </c>
      <c r="R14" s="17">
        <f>Q14*1500</f>
        <v/>
      </c>
      <c r="S14" s="17">
        <f>R14*12</f>
        <v/>
      </c>
      <c r="T14" s="8" t="inlineStr">
        <is>
          <t>Fast (1-2 wks)</t>
        </is>
      </c>
      <c r="U14" s="16" t="inlineStr">
        <is>
          <t>Ready for Send</t>
        </is>
      </c>
      <c r="V14" s="16" t="inlineStr">
        <is>
          <t>Sample_FOA_Proposal_Blueprint.pdf</t>
        </is>
      </c>
      <c r="W14" s="16" t="inlineStr">
        <is>
          <t>Form_Energy_Capital_Intelligence_Dossier.pdf</t>
        </is>
      </c>
      <c r="X14" s="16" t="inlineStr">
        <is>
          <t>Energy_Innovation_Terminal_by_AIxEnergy_Capabilities_Brief.pdf</t>
        </is>
      </c>
    </row>
    <row r="15" ht="22" customHeight="1">
      <c r="A15" s="12" t="n">
        <v>14</v>
      </c>
      <c r="B15" s="18" t="inlineStr">
        <is>
          <t>Pioneer Public Affairs</t>
        </is>
      </c>
      <c r="C15" s="18" t="inlineStr">
        <is>
          <t>Climate Policy &amp; Clean Energy Procurement</t>
        </is>
      </c>
      <c r="D15" s="18" t="inlineStr">
        <is>
          <t>Charlie Ellsworth</t>
        </is>
      </c>
      <c r="E15" s="18" t="inlineStr">
        <is>
          <t>Partner</t>
        </is>
      </c>
      <c r="F15" s="18" t="inlineStr">
        <is>
          <t>charlie@pioneerpublicaffairs.com</t>
        </is>
      </c>
      <c r="G15" s="18" t="inlineStr">
        <is>
          <t>(202) 750-1770</t>
        </is>
      </c>
      <c r="H15" s="18" t="inlineStr">
        <is>
          <t>https://linkedin.com/in/charlieellsworth</t>
        </is>
      </c>
      <c r="I15" s="18" t="inlineStr">
        <is>
          <t>https://pioneerpublicaffairs.com</t>
        </is>
      </c>
      <c r="J15" s="18" t="inlineStr">
        <is>
          <t>Washington, DC</t>
        </is>
      </c>
      <c r="K15" s="18" t="inlineStr">
        <is>
          <t>20-40</t>
        </is>
      </c>
      <c r="L15" s="18" t="inlineStr">
        <is>
          <t>DOE, EPA, DOD Clean Energy, Treasury IRA Programs</t>
        </is>
      </c>
      <c r="M15" s="18" t="inlineStr">
        <is>
          <t>Climate Tech Unicorns, Clean Heavy Industry, EV Fleet Operators</t>
        </is>
      </c>
      <c r="N15" s="18" t="inlineStr">
        <is>
          <t>Navigating statutory compliance clauses (Buy America, Prevailing Wage, Justice40) for rapid client advisory</t>
        </is>
      </c>
      <c r="O15" s="18" t="inlineStr">
        <is>
          <t>Automated extraction of statutory restrictions, DAC targeting, and cost-share waiver rules across solicitations</t>
        </is>
      </c>
      <c r="P15" s="18" t="inlineStr">
        <is>
          <t>$1,500 / seat / mo (Flat Rate)</t>
        </is>
      </c>
      <c r="Q15" s="12" t="n">
        <v>5</v>
      </c>
      <c r="R15" s="19">
        <f>Q15*1500</f>
        <v/>
      </c>
      <c r="S15" s="19">
        <f>R15*12</f>
        <v/>
      </c>
      <c r="T15" s="12" t="inlineStr">
        <is>
          <t>Fast (1-2 wks)</t>
        </is>
      </c>
      <c r="U15" s="18" t="inlineStr">
        <is>
          <t>Ready for Send</t>
        </is>
      </c>
      <c r="V15" s="18" t="inlineStr">
        <is>
          <t>Sample_FOA_Proposal_Blueprint.pdf</t>
        </is>
      </c>
      <c r="W15" s="18" t="inlineStr">
        <is>
          <t>Form_Energy_Capital_Intelligence_Dossier.pdf</t>
        </is>
      </c>
      <c r="X15" s="18" t="inlineStr">
        <is>
          <t>Energy_Innovation_Terminal_by_AIxEnergy_Capabilities_Brief.pdf</t>
        </is>
      </c>
    </row>
    <row r="16" ht="22" customHeight="1">
      <c r="A16" s="8" t="n">
        <v>15</v>
      </c>
      <c r="B16" s="16" t="inlineStr">
        <is>
          <t>Pioneer Public Affairs</t>
        </is>
      </c>
      <c r="C16" s="16" t="inlineStr">
        <is>
          <t>Climate Policy &amp; Clean Energy Procurement</t>
        </is>
      </c>
      <c r="D16" s="16" t="inlineStr">
        <is>
          <t>Colin O'Mara</t>
        </is>
      </c>
      <c r="E16" s="16" t="inlineStr">
        <is>
          <t>Senior Advisor, Energy Practice</t>
        </is>
      </c>
      <c r="F16" s="16" t="inlineStr">
        <is>
          <t>colin@pioneerpublicaffairs.com</t>
        </is>
      </c>
      <c r="G16" s="16" t="inlineStr">
        <is>
          <t>(202) 750-1770</t>
        </is>
      </c>
      <c r="H16" s="16" t="inlineStr">
        <is>
          <t>https://linkedin.com/in/colino'mara</t>
        </is>
      </c>
      <c r="I16" s="16" t="inlineStr">
        <is>
          <t>https://pioneerpublicaffairs.com</t>
        </is>
      </c>
      <c r="J16" s="16" t="inlineStr">
        <is>
          <t>Washington, DC</t>
        </is>
      </c>
      <c r="K16" s="16" t="inlineStr">
        <is>
          <t>20-40</t>
        </is>
      </c>
      <c r="L16" s="16" t="inlineStr">
        <is>
          <t>DOE, EPA, DOD Clean Energy, Treasury IRA Programs</t>
        </is>
      </c>
      <c r="M16" s="16" t="inlineStr">
        <is>
          <t>Climate Tech Unicorns, Clean Heavy Industry, EV Fleet Operators</t>
        </is>
      </c>
      <c r="N16" s="16" t="inlineStr">
        <is>
          <t>Navigating statutory compliance clauses (Buy America, Prevailing Wage, Justice40) for rapid client advisory</t>
        </is>
      </c>
      <c r="O16" s="16" t="inlineStr">
        <is>
          <t>Automated extraction of statutory restrictions, DAC targeting, and cost-share waiver rules across solicitations</t>
        </is>
      </c>
      <c r="P16" s="16" t="inlineStr">
        <is>
          <t>$1,500 / seat / mo (Flat Rate)</t>
        </is>
      </c>
      <c r="Q16" s="8" t="n">
        <v>5</v>
      </c>
      <c r="R16" s="17">
        <f>Q16*1500</f>
        <v/>
      </c>
      <c r="S16" s="17">
        <f>R16*12</f>
        <v/>
      </c>
      <c r="T16" s="8" t="inlineStr">
        <is>
          <t>Fast (1-2 wks)</t>
        </is>
      </c>
      <c r="U16" s="16" t="inlineStr">
        <is>
          <t>Ready for Send</t>
        </is>
      </c>
      <c r="V16" s="16" t="inlineStr">
        <is>
          <t>Sample_FOA_Proposal_Blueprint.pdf</t>
        </is>
      </c>
      <c r="W16" s="16" t="inlineStr">
        <is>
          <t>Form_Energy_Capital_Intelligence_Dossier.pdf</t>
        </is>
      </c>
      <c r="X16" s="16" t="inlineStr">
        <is>
          <t>Energy_Innovation_Terminal_by_AIxEnergy_Capabilities_Brief.pdf</t>
        </is>
      </c>
    </row>
    <row r="17" ht="22" customHeight="1">
      <c r="A17" s="12" t="n">
        <v>16</v>
      </c>
      <c r="B17" s="18" t="inlineStr">
        <is>
          <t>KeyLogic Systems</t>
        </is>
      </c>
      <c r="C17" s="18" t="inlineStr">
        <is>
          <t>Energy Systems &amp; Lab Technical Advisory</t>
        </is>
      </c>
      <c r="D17" s="18" t="inlineStr">
        <is>
          <t>Mark O'Connell</t>
        </is>
      </c>
      <c r="E17" s="18" t="inlineStr">
        <is>
          <t>Managing Director</t>
        </is>
      </c>
      <c r="F17" s="18" t="inlineStr">
        <is>
          <t>moconnell@keylogic.com</t>
        </is>
      </c>
      <c r="G17" s="18" t="inlineStr">
        <is>
          <t>(800) 800-2410</t>
        </is>
      </c>
      <c r="H17" s="18" t="inlineStr">
        <is>
          <t>https://linkedin.com/in/marko'connell</t>
        </is>
      </c>
      <c r="I17" s="18" t="inlineStr">
        <is>
          <t>https://keylogic.com</t>
        </is>
      </c>
      <c r="J17" s="18" t="inlineStr">
        <is>
          <t>Morgantown, WV</t>
        </is>
      </c>
      <c r="K17" s="18" t="inlineStr">
        <is>
          <t>200-400</t>
        </is>
      </c>
      <c r="L17" s="18" t="inlineStr">
        <is>
          <t>DOE NETL, DOE Office of Clean Energy Demonstrations (OCED)</t>
        </is>
      </c>
      <c r="M17" s="18" t="inlineStr">
        <is>
          <t>Carbon Capture (CCUS), Hydrogen, Advanced Turbines, Power Utilities</t>
        </is>
      </c>
      <c r="N17" s="18" t="inlineStr">
        <is>
          <t>Reviewing and synthesizing technical merit scoring criteria for high-TRL demonstration projects</t>
        </is>
      </c>
      <c r="O17" s="18" t="inlineStr">
        <is>
          <t>Institutional Reviewer Scoring Rubric breakdown with weighted sub-factors and technical fatal flaw analysis</t>
        </is>
      </c>
      <c r="P17" s="18" t="inlineStr">
        <is>
          <t>$1,500 / seat / mo (Flat Rate)</t>
        </is>
      </c>
      <c r="Q17" s="12" t="n">
        <v>5</v>
      </c>
      <c r="R17" s="19">
        <f>Q17*1500</f>
        <v/>
      </c>
      <c r="S17" s="19">
        <f>R17*12</f>
        <v/>
      </c>
      <c r="T17" s="12" t="inlineStr">
        <is>
          <t>Fast (1-2 wks)</t>
        </is>
      </c>
      <c r="U17" s="18" t="inlineStr">
        <is>
          <t>Ready for Send</t>
        </is>
      </c>
      <c r="V17" s="18" t="inlineStr">
        <is>
          <t>Sample_FOA_Proposal_Blueprint.pdf</t>
        </is>
      </c>
      <c r="W17" s="18" t="inlineStr">
        <is>
          <t>Form_Energy_Capital_Intelligence_Dossier.pdf</t>
        </is>
      </c>
      <c r="X17" s="18" t="inlineStr">
        <is>
          <t>Energy_Innovation_Terminal_by_AIxEnergy_Capabilities_Brief.pdf</t>
        </is>
      </c>
    </row>
    <row r="18" ht="22" customHeight="1">
      <c r="A18" s="8" t="n">
        <v>17</v>
      </c>
      <c r="B18" s="16" t="inlineStr">
        <is>
          <t>KeyLogic Systems</t>
        </is>
      </c>
      <c r="C18" s="16" t="inlineStr">
        <is>
          <t>Energy Systems &amp; Lab Technical Advisory</t>
        </is>
      </c>
      <c r="D18" s="16" t="inlineStr">
        <is>
          <t>Scott Staruch</t>
        </is>
      </c>
      <c r="E18" s="16" t="inlineStr">
        <is>
          <t>VP, Energy &amp; Government Strategy</t>
        </is>
      </c>
      <c r="F18" s="16" t="inlineStr">
        <is>
          <t>sstaruch@keylogic.com</t>
        </is>
      </c>
      <c r="G18" s="16" t="inlineStr">
        <is>
          <t>(800) 800-2410</t>
        </is>
      </c>
      <c r="H18" s="16" t="inlineStr">
        <is>
          <t>https://linkedin.com/in/scottstaruch</t>
        </is>
      </c>
      <c r="I18" s="16" t="inlineStr">
        <is>
          <t>https://keylogic.com</t>
        </is>
      </c>
      <c r="J18" s="16" t="inlineStr">
        <is>
          <t>Washington, DC</t>
        </is>
      </c>
      <c r="K18" s="16" t="inlineStr">
        <is>
          <t>200-400</t>
        </is>
      </c>
      <c r="L18" s="16" t="inlineStr">
        <is>
          <t>DOE NETL, DOE Office of Clean Energy Demonstrations (OCED)</t>
        </is>
      </c>
      <c r="M18" s="16" t="inlineStr">
        <is>
          <t>Carbon Capture (CCUS), Hydrogen, Advanced Turbines, Power Utilities</t>
        </is>
      </c>
      <c r="N18" s="16" t="inlineStr">
        <is>
          <t>Reviewing and synthesizing technical merit scoring criteria for high-TRL demonstration projects</t>
        </is>
      </c>
      <c r="O18" s="16" t="inlineStr">
        <is>
          <t>Institutional Reviewer Scoring Rubric breakdown with weighted sub-factors and technical fatal flaw analysis</t>
        </is>
      </c>
      <c r="P18" s="16" t="inlineStr">
        <is>
          <t>$1,500 / seat / mo (Flat Rate)</t>
        </is>
      </c>
      <c r="Q18" s="8" t="n">
        <v>5</v>
      </c>
      <c r="R18" s="17">
        <f>Q18*1500</f>
        <v/>
      </c>
      <c r="S18" s="17">
        <f>R18*12</f>
        <v/>
      </c>
      <c r="T18" s="8" t="inlineStr">
        <is>
          <t>Fast (1-2 wks)</t>
        </is>
      </c>
      <c r="U18" s="16" t="inlineStr">
        <is>
          <t>Ready for Send</t>
        </is>
      </c>
      <c r="V18" s="16" t="inlineStr">
        <is>
          <t>Sample_FOA_Proposal_Blueprint.pdf</t>
        </is>
      </c>
      <c r="W18" s="16" t="inlineStr">
        <is>
          <t>Form_Energy_Capital_Intelligence_Dossier.pdf</t>
        </is>
      </c>
      <c r="X18" s="16" t="inlineStr">
        <is>
          <t>Energy_Innovation_Terminal_by_AIxEnergy_Capabilities_Brief.pdf</t>
        </is>
      </c>
    </row>
    <row r="19" ht="22" customHeight="1">
      <c r="A19" s="12" t="n">
        <v>18</v>
      </c>
      <c r="B19" s="18" t="inlineStr">
        <is>
          <t>ADL Ventures</t>
        </is>
      </c>
      <c r="C19" s="18" t="inlineStr">
        <is>
          <t>Corporate Venture Studio &amp; Non-Dilutive Strategy</t>
        </is>
      </c>
      <c r="D19" s="18" t="inlineStr">
        <is>
          <t>Kyle Hermany</t>
        </is>
      </c>
      <c r="E19" s="18" t="inlineStr">
        <is>
          <t>Partner</t>
        </is>
      </c>
      <c r="F19" s="18" t="inlineStr">
        <is>
          <t>kyle@adlventures.com</t>
        </is>
      </c>
      <c r="G19" s="18" t="inlineStr">
        <is>
          <t>(617) 945-8120</t>
        </is>
      </c>
      <c r="H19" s="18" t="inlineStr">
        <is>
          <t>https://linkedin.com/in/kylehermany</t>
        </is>
      </c>
      <c r="I19" s="18" t="inlineStr">
        <is>
          <t>https://adlventures.com</t>
        </is>
      </c>
      <c r="J19" s="18" t="inlineStr">
        <is>
          <t>Boston, MA</t>
        </is>
      </c>
      <c r="K19" s="18" t="inlineStr">
        <is>
          <t>20-50</t>
        </is>
      </c>
      <c r="L19" s="18" t="inlineStr">
        <is>
          <t>DOE BTO, NYSERDA, CEC, NSF</t>
        </is>
      </c>
      <c r="M19" s="18" t="inlineStr">
        <is>
          <t>Building Decarbonization Startups, HVAC Tech, Utility Tech Startups</t>
        </is>
      </c>
      <c r="N19" s="18" t="inlineStr">
        <is>
          <t>Screening dozens of state and federal funding opportunities monthly for venture studio portfolio co-builds</t>
        </is>
      </c>
      <c r="O19" s="18" t="inlineStr">
        <is>
          <t>Multi-criteria grant matching engine filtering by TRL, sector, geography, and cost-share requirements</t>
        </is>
      </c>
      <c r="P19" s="18" t="inlineStr">
        <is>
          <t>$1,500 / seat / mo (Flat Rate)</t>
        </is>
      </c>
      <c r="Q19" s="12" t="n">
        <v>5</v>
      </c>
      <c r="R19" s="19">
        <f>Q19*1500</f>
        <v/>
      </c>
      <c r="S19" s="19">
        <f>R19*12</f>
        <v/>
      </c>
      <c r="T19" s="12" t="inlineStr">
        <is>
          <t>Fast (1-2 wks)</t>
        </is>
      </c>
      <c r="U19" s="18" t="inlineStr">
        <is>
          <t>Ready for Send</t>
        </is>
      </c>
      <c r="V19" s="18" t="inlineStr">
        <is>
          <t>Sample_FOA_Proposal_Blueprint.pdf</t>
        </is>
      </c>
      <c r="W19" s="18" t="inlineStr">
        <is>
          <t>Form_Energy_Capital_Intelligence_Dossier.pdf</t>
        </is>
      </c>
      <c r="X19" s="18" t="inlineStr">
        <is>
          <t>Energy_Innovation_Terminal_by_AIxEnergy_Capabilities_Brief.pdf</t>
        </is>
      </c>
    </row>
    <row r="20" ht="22" customHeight="1">
      <c r="A20" s="8" t="n">
        <v>19</v>
      </c>
      <c r="B20" s="16" t="inlineStr">
        <is>
          <t>ADL Ventures</t>
        </is>
      </c>
      <c r="C20" s="16" t="inlineStr">
        <is>
          <t>Corporate Venture Studio &amp; Non-Dilutive Strategy</t>
        </is>
      </c>
      <c r="D20" s="16" t="inlineStr">
        <is>
          <t>Chris Richardson</t>
        </is>
      </c>
      <c r="E20" s="16" t="inlineStr">
        <is>
          <t>Partner</t>
        </is>
      </c>
      <c r="F20" s="16" t="inlineStr">
        <is>
          <t>chris@adlventures.com</t>
        </is>
      </c>
      <c r="G20" s="16" t="inlineStr">
        <is>
          <t>(617) 945-8120</t>
        </is>
      </c>
      <c r="H20" s="16" t="inlineStr">
        <is>
          <t>https://linkedin.com/in/chrisrichardson</t>
        </is>
      </c>
      <c r="I20" s="16" t="inlineStr">
        <is>
          <t>https://adlventures.com</t>
        </is>
      </c>
      <c r="J20" s="16" t="inlineStr">
        <is>
          <t>San Francisco, CA</t>
        </is>
      </c>
      <c r="K20" s="16" t="inlineStr">
        <is>
          <t>20-50</t>
        </is>
      </c>
      <c r="L20" s="16" t="inlineStr">
        <is>
          <t>DOE BTO, NYSERDA, CEC, NSF</t>
        </is>
      </c>
      <c r="M20" s="16" t="inlineStr">
        <is>
          <t>Building Decarbonization Startups, HVAC Tech, Utility Tech Startups</t>
        </is>
      </c>
      <c r="N20" s="16" t="inlineStr">
        <is>
          <t>Screening dozens of state and federal funding opportunities monthly for venture studio portfolio co-builds</t>
        </is>
      </c>
      <c r="O20" s="16" t="inlineStr">
        <is>
          <t>Multi-criteria grant matching engine filtering by TRL, sector, geography, and cost-share requirements</t>
        </is>
      </c>
      <c r="P20" s="16" t="inlineStr">
        <is>
          <t>$1,500 / seat / mo (Flat Rate)</t>
        </is>
      </c>
      <c r="Q20" s="8" t="n">
        <v>5</v>
      </c>
      <c r="R20" s="17">
        <f>Q20*1500</f>
        <v/>
      </c>
      <c r="S20" s="17">
        <f>R20*12</f>
        <v/>
      </c>
      <c r="T20" s="8" t="inlineStr">
        <is>
          <t>Fast (1-2 wks)</t>
        </is>
      </c>
      <c r="U20" s="16" t="inlineStr">
        <is>
          <t>Ready for Send</t>
        </is>
      </c>
      <c r="V20" s="16" t="inlineStr">
        <is>
          <t>Sample_FOA_Proposal_Blueprint.pdf</t>
        </is>
      </c>
      <c r="W20" s="16" t="inlineStr">
        <is>
          <t>Form_Energy_Capital_Intelligence_Dossier.pdf</t>
        </is>
      </c>
      <c r="X20" s="16" t="inlineStr">
        <is>
          <t>Energy_Innovation_Terminal_by_AIxEnergy_Capabilities_Brief.pdf</t>
        </is>
      </c>
    </row>
    <row r="21" ht="22" customHeight="1">
      <c r="A21" s="12" t="n">
        <v>20</v>
      </c>
      <c r="B21" s="18" t="inlineStr">
        <is>
          <t>RMI / Third Derivative</t>
        </is>
      </c>
      <c r="C21" s="18" t="inlineStr">
        <is>
          <t>Global Climate Tech Accelerator &amp; Non-Profit Advisory</t>
        </is>
      </c>
      <c r="D21" s="18" t="inlineStr">
        <is>
          <t>Jon Creyts</t>
        </is>
      </c>
      <c r="E21" s="18" t="inlineStr">
        <is>
          <t>CEO</t>
        </is>
      </c>
      <c r="F21" s="18" t="inlineStr">
        <is>
          <t>jcreyts@rmi.org</t>
        </is>
      </c>
      <c r="G21" s="18" t="inlineStr">
        <is>
          <t>(303) 245-1003</t>
        </is>
      </c>
      <c r="H21" s="18" t="inlineStr">
        <is>
          <t>https://linkedin.com/in/joncreyts</t>
        </is>
      </c>
      <c r="I21" s="18" t="inlineStr">
        <is>
          <t>https://thirdderivative.org</t>
        </is>
      </c>
      <c r="J21" s="18" t="inlineStr">
        <is>
          <t>Boulder, CO</t>
        </is>
      </c>
      <c r="K21" s="18" t="inlineStr">
        <is>
          <t>100-250</t>
        </is>
      </c>
      <c r="L21" s="18" t="inlineStr">
        <is>
          <t>DOE, State Energy Offices, Global Climate Funds</t>
        </is>
      </c>
      <c r="M21" s="18" t="inlineStr">
        <is>
          <t>Early Stage (Seed to Series B) Hardtech Innovators across 100+ startups</t>
        </is>
      </c>
      <c r="N21" s="18" t="inlineStr">
        <is>
          <t>Providing grant search and FOA compliance tooling to 100+ portfolio companies without endless manual consulting hours</t>
        </is>
      </c>
      <c r="O21" s="18" t="inlineStr">
        <is>
          <t>Turnkey portal and PDF blueprint exports that startups can use immediately to craft winning applications</t>
        </is>
      </c>
      <c r="P21" s="18" t="inlineStr">
        <is>
          <t>$1,500 / seat / mo (Flat Rate)</t>
        </is>
      </c>
      <c r="Q21" s="12" t="n">
        <v>5</v>
      </c>
      <c r="R21" s="19">
        <f>Q21*1500</f>
        <v/>
      </c>
      <c r="S21" s="19">
        <f>R21*12</f>
        <v/>
      </c>
      <c r="T21" s="12" t="inlineStr">
        <is>
          <t>Fast (1-2 wks)</t>
        </is>
      </c>
      <c r="U21" s="18" t="inlineStr">
        <is>
          <t>Ready for Send</t>
        </is>
      </c>
      <c r="V21" s="18" t="inlineStr">
        <is>
          <t>Sample_FOA_Proposal_Blueprint.pdf</t>
        </is>
      </c>
      <c r="W21" s="18" t="inlineStr">
        <is>
          <t>Form_Energy_Capital_Intelligence_Dossier.pdf</t>
        </is>
      </c>
      <c r="X21" s="18" t="inlineStr">
        <is>
          <t>Energy_Innovation_Terminal_by_AIxEnergy_Capabilities_Brief.pdf</t>
        </is>
      </c>
    </row>
    <row r="22" ht="22" customHeight="1">
      <c r="A22" s="8" t="n">
        <v>21</v>
      </c>
      <c r="B22" s="16" t="inlineStr">
        <is>
          <t>RMI</t>
        </is>
      </c>
      <c r="C22" s="16" t="inlineStr">
        <is>
          <t>Clean Tech &amp; Energy Advisory</t>
        </is>
      </c>
      <c r="D22" s="16" t="inlineStr">
        <is>
          <t>Bryan Fisher</t>
        </is>
      </c>
      <c r="E22" s="16" t="inlineStr">
        <is>
          <t>Managing Director</t>
        </is>
      </c>
      <c r="F22" s="16" t="inlineStr">
        <is>
          <t>bfisher@rmi.org</t>
        </is>
      </c>
      <c r="G22" s="16" t="inlineStr">
        <is>
          <t>(303) 245-1003</t>
        </is>
      </c>
      <c r="H22" s="16" t="inlineStr">
        <is>
          <t>https://linkedin.com/in/bryanfisher</t>
        </is>
      </c>
      <c r="I22" s="16" t="inlineStr">
        <is>
          <t>https://energyadvisory.com</t>
        </is>
      </c>
      <c r="J22" s="16" t="inlineStr">
        <is>
          <t>Boulder, CO</t>
        </is>
      </c>
      <c r="K22" s="16" t="inlineStr">
        <is>
          <t>20-100</t>
        </is>
      </c>
      <c r="L22" s="16" t="inlineStr">
        <is>
          <t>DOE, NYSERDA, CEC, NSF</t>
        </is>
      </c>
      <c r="M22" s="16" t="inlineStr">
        <is>
          <t>Clean Tech Startups, Utilities, Research Consortia</t>
        </is>
      </c>
      <c r="N22" s="16" t="inlineStr">
        <is>
          <t>Manual FOA decomposition and multi-database research consuming 20+ hours per proposal</t>
        </is>
      </c>
      <c r="O22" s="16" t="inlineStr">
        <is>
          <t>10-second FOA shredder, 4-part PDF blueprints, and 5-stage capital continuum ledgers</t>
        </is>
      </c>
      <c r="P22" s="16" t="inlineStr">
        <is>
          <t>$1,500 / seat / mo (Flat Rate)</t>
        </is>
      </c>
      <c r="Q22" s="8" t="n">
        <v>5</v>
      </c>
      <c r="R22" s="17">
        <f>Q22*1500</f>
        <v/>
      </c>
      <c r="S22" s="17">
        <f>R22*12</f>
        <v/>
      </c>
      <c r="T22" s="8" t="inlineStr">
        <is>
          <t>Fast (1-2 wks)</t>
        </is>
      </c>
      <c r="U22" s="16" t="inlineStr">
        <is>
          <t>Ready for Send</t>
        </is>
      </c>
      <c r="V22" s="16" t="inlineStr">
        <is>
          <t>Sample_FOA_Proposal_Blueprint.pdf</t>
        </is>
      </c>
      <c r="W22" s="16" t="inlineStr">
        <is>
          <t>Form_Energy_Capital_Intelligence_Dossier.pdf</t>
        </is>
      </c>
      <c r="X22" s="16" t="inlineStr">
        <is>
          <t>Energy_Innovation_Terminal_by_AIxEnergy_Capabilities_Brief.pdf</t>
        </is>
      </c>
    </row>
    <row r="23" ht="22" customHeight="1">
      <c r="A23" s="12" t="n">
        <v>22</v>
      </c>
      <c r="B23" s="18" t="inlineStr">
        <is>
          <t>RMI</t>
        </is>
      </c>
      <c r="C23" s="18" t="inlineStr">
        <is>
          <t>Clean Tech &amp; Energy Advisory</t>
        </is>
      </c>
      <c r="D23" s="18" t="inlineStr">
        <is>
          <t>Lachlan Carey</t>
        </is>
      </c>
      <c r="E23" s="18" t="inlineStr">
        <is>
          <t>Principal, US Program</t>
        </is>
      </c>
      <c r="F23" s="18" t="inlineStr">
        <is>
          <t>lcarey@rmi.org</t>
        </is>
      </c>
      <c r="G23" s="18" t="inlineStr">
        <is>
          <t>(202) 717-8488</t>
        </is>
      </c>
      <c r="H23" s="18" t="inlineStr">
        <is>
          <t>https://linkedin.com/in/lachlancarey</t>
        </is>
      </c>
      <c r="I23" s="18" t="inlineStr">
        <is>
          <t>https://energyadvisory.com</t>
        </is>
      </c>
      <c r="J23" s="18" t="inlineStr">
        <is>
          <t>Washington, DC</t>
        </is>
      </c>
      <c r="K23" s="18" t="inlineStr">
        <is>
          <t>20-100</t>
        </is>
      </c>
      <c r="L23" s="18" t="inlineStr">
        <is>
          <t>DOE, NYSERDA, CEC, NSF</t>
        </is>
      </c>
      <c r="M23" s="18" t="inlineStr">
        <is>
          <t>Clean Tech Startups, Utilities, Research Consortia</t>
        </is>
      </c>
      <c r="N23" s="18" t="inlineStr">
        <is>
          <t>Manual FOA decomposition and multi-database research consuming 20+ hours per proposal</t>
        </is>
      </c>
      <c r="O23" s="18" t="inlineStr">
        <is>
          <t>10-second FOA shredder, 4-part PDF blueprints, and 5-stage capital continuum ledgers</t>
        </is>
      </c>
      <c r="P23" s="18" t="inlineStr">
        <is>
          <t>$1,500 / seat / mo (Flat Rate)</t>
        </is>
      </c>
      <c r="Q23" s="12" t="n">
        <v>5</v>
      </c>
      <c r="R23" s="19">
        <f>Q23*1500</f>
        <v/>
      </c>
      <c r="S23" s="19">
        <f>R23*12</f>
        <v/>
      </c>
      <c r="T23" s="12" t="inlineStr">
        <is>
          <t>Fast (1-2 wks)</t>
        </is>
      </c>
      <c r="U23" s="18" t="inlineStr">
        <is>
          <t>Ready for Send</t>
        </is>
      </c>
      <c r="V23" s="18" t="inlineStr">
        <is>
          <t>Sample_FOA_Proposal_Blueprint.pdf</t>
        </is>
      </c>
      <c r="W23" s="18" t="inlineStr">
        <is>
          <t>Form_Energy_Capital_Intelligence_Dossier.pdf</t>
        </is>
      </c>
      <c r="X23" s="18" t="inlineStr">
        <is>
          <t>Energy_Innovation_Terminal_by_AIxEnergy_Capabilities_Brief.pdf</t>
        </is>
      </c>
    </row>
    <row r="24" ht="22" customHeight="1">
      <c r="A24" s="8" t="n">
        <v>23</v>
      </c>
      <c r="B24" s="16" t="inlineStr">
        <is>
          <t>Analysis Group (Energy Practice)</t>
        </is>
      </c>
      <c r="C24" s="16" t="inlineStr">
        <is>
          <t>Clean Tech &amp; Energy Advisory</t>
        </is>
      </c>
      <c r="D24" s="16" t="inlineStr">
        <is>
          <t>Paul Hibbard</t>
        </is>
      </c>
      <c r="E24" s="16" t="inlineStr">
        <is>
          <t>Principal</t>
        </is>
      </c>
      <c r="F24" s="16" t="inlineStr">
        <is>
          <t>paul.hibbard@analysisgroup.com</t>
        </is>
      </c>
      <c r="G24" s="16" t="inlineStr">
        <is>
          <t>(617) 425-8000</t>
        </is>
      </c>
      <c r="H24" s="16" t="inlineStr">
        <is>
          <t>https://linkedin.com/in/paulhibbard</t>
        </is>
      </c>
      <c r="I24" s="16" t="inlineStr">
        <is>
          <t>https://energyadvisory.com</t>
        </is>
      </c>
      <c r="J24" s="16" t="inlineStr">
        <is>
          <t>Boston, MA</t>
        </is>
      </c>
      <c r="K24" s="16" t="inlineStr">
        <is>
          <t>20-100</t>
        </is>
      </c>
      <c r="L24" s="16" t="inlineStr">
        <is>
          <t>DOE, NYSERDA, CEC, NSF</t>
        </is>
      </c>
      <c r="M24" s="16" t="inlineStr">
        <is>
          <t>Clean Tech Startups, Utilities, Research Consortia</t>
        </is>
      </c>
      <c r="N24" s="16" t="inlineStr">
        <is>
          <t>Manual FOA decomposition and multi-database research consuming 20+ hours per proposal</t>
        </is>
      </c>
      <c r="O24" s="16" t="inlineStr">
        <is>
          <t>10-second FOA shredder, 4-part PDF blueprints, and 5-stage capital continuum ledgers</t>
        </is>
      </c>
      <c r="P24" s="16" t="inlineStr">
        <is>
          <t>$1,500 / seat / mo (Flat Rate)</t>
        </is>
      </c>
      <c r="Q24" s="8" t="n">
        <v>5</v>
      </c>
      <c r="R24" s="17">
        <f>Q24*1500</f>
        <v/>
      </c>
      <c r="S24" s="17">
        <f>R24*12</f>
        <v/>
      </c>
      <c r="T24" s="8" t="inlineStr">
        <is>
          <t>Fast (1-2 wks)</t>
        </is>
      </c>
      <c r="U24" s="16" t="inlineStr">
        <is>
          <t>Ready for Send</t>
        </is>
      </c>
      <c r="V24" s="16" t="inlineStr">
        <is>
          <t>Sample_FOA_Proposal_Blueprint.pdf</t>
        </is>
      </c>
      <c r="W24" s="16" t="inlineStr">
        <is>
          <t>Form_Energy_Capital_Intelligence_Dossier.pdf</t>
        </is>
      </c>
      <c r="X24" s="16" t="inlineStr">
        <is>
          <t>Energy_Innovation_Terminal_by_AIxEnergy_Capabilities_Brief.pdf</t>
        </is>
      </c>
    </row>
    <row r="25" ht="22" customHeight="1">
      <c r="A25" s="12" t="n">
        <v>24</v>
      </c>
      <c r="B25" s="18" t="inlineStr">
        <is>
          <t>Analysis Group</t>
        </is>
      </c>
      <c r="C25" s="18" t="inlineStr">
        <is>
          <t>Clean Tech &amp; Energy Advisory</t>
        </is>
      </c>
      <c r="D25" s="18" t="inlineStr">
        <is>
          <t>Susan Tierney</t>
        </is>
      </c>
      <c r="E25" s="18" t="inlineStr">
        <is>
          <t>Senior Advisor</t>
        </is>
      </c>
      <c r="F25" s="18" t="inlineStr">
        <is>
          <t>susan.tierney@analysisgroup.com</t>
        </is>
      </c>
      <c r="G25" s="18" t="inlineStr">
        <is>
          <t>(617) 425-8000</t>
        </is>
      </c>
      <c r="H25" s="18" t="inlineStr">
        <is>
          <t>https://linkedin.com/in/susantierney</t>
        </is>
      </c>
      <c r="I25" s="18" t="inlineStr">
        <is>
          <t>https://energyadvisory.com</t>
        </is>
      </c>
      <c r="J25" s="18" t="inlineStr">
        <is>
          <t>Denver, CO</t>
        </is>
      </c>
      <c r="K25" s="18" t="inlineStr">
        <is>
          <t>20-100</t>
        </is>
      </c>
      <c r="L25" s="18" t="inlineStr">
        <is>
          <t>DOE, NYSERDA, CEC, NSF</t>
        </is>
      </c>
      <c r="M25" s="18" t="inlineStr">
        <is>
          <t>Clean Tech Startups, Utilities, Research Consortia</t>
        </is>
      </c>
      <c r="N25" s="18" t="inlineStr">
        <is>
          <t>Manual FOA decomposition and multi-database research consuming 20+ hours per proposal</t>
        </is>
      </c>
      <c r="O25" s="18" t="inlineStr">
        <is>
          <t>10-second FOA shredder, 4-part PDF blueprints, and 5-stage capital continuum ledgers</t>
        </is>
      </c>
      <c r="P25" s="18" t="inlineStr">
        <is>
          <t>$1,500 / seat / mo (Flat Rate)</t>
        </is>
      </c>
      <c r="Q25" s="12" t="n">
        <v>5</v>
      </c>
      <c r="R25" s="19">
        <f>Q25*1500</f>
        <v/>
      </c>
      <c r="S25" s="19">
        <f>R25*12</f>
        <v/>
      </c>
      <c r="T25" s="12" t="inlineStr">
        <is>
          <t>Fast (1-2 wks)</t>
        </is>
      </c>
      <c r="U25" s="18" t="inlineStr">
        <is>
          <t>Ready for Send</t>
        </is>
      </c>
      <c r="V25" s="18" t="inlineStr">
        <is>
          <t>Sample_FOA_Proposal_Blueprint.pdf</t>
        </is>
      </c>
      <c r="W25" s="18" t="inlineStr">
        <is>
          <t>Form_Energy_Capital_Intelligence_Dossier.pdf</t>
        </is>
      </c>
      <c r="X25" s="18" t="inlineStr">
        <is>
          <t>Energy_Innovation_Terminal_by_AIxEnergy_Capabilities_Brief.pdf</t>
        </is>
      </c>
    </row>
    <row r="26" ht="22" customHeight="1">
      <c r="A26" s="8" t="n">
        <v>25</v>
      </c>
      <c r="B26" s="16" t="inlineStr">
        <is>
          <t>Access Venture Partners</t>
        </is>
      </c>
      <c r="C26" s="16" t="inlineStr">
        <is>
          <t>Clean Tech &amp; Energy Advisory</t>
        </is>
      </c>
      <c r="D26" s="16" t="inlineStr">
        <is>
          <t>David Gold</t>
        </is>
      </c>
      <c r="E26" s="16" t="inlineStr">
        <is>
          <t>Managing Director</t>
        </is>
      </c>
      <c r="F26" s="16" t="inlineStr">
        <is>
          <t>dgold@accessvp.com</t>
        </is>
      </c>
      <c r="G26" s="16" t="inlineStr">
        <is>
          <t>(303) 444-1234</t>
        </is>
      </c>
      <c r="H26" s="16" t="inlineStr">
        <is>
          <t>https://linkedin.com/in/davidgold</t>
        </is>
      </c>
      <c r="I26" s="16" t="inlineStr">
        <is>
          <t>https://energyadvisory.com</t>
        </is>
      </c>
      <c r="J26" s="16" t="inlineStr">
        <is>
          <t>Westminster, CO</t>
        </is>
      </c>
      <c r="K26" s="16" t="inlineStr">
        <is>
          <t>20-100</t>
        </is>
      </c>
      <c r="L26" s="16" t="inlineStr">
        <is>
          <t>DOE, NYSERDA, CEC, NSF</t>
        </is>
      </c>
      <c r="M26" s="16" t="inlineStr">
        <is>
          <t>Clean Tech Startups, Utilities, Research Consortia</t>
        </is>
      </c>
      <c r="N26" s="16" t="inlineStr">
        <is>
          <t>Manual FOA decomposition and multi-database research consuming 20+ hours per proposal</t>
        </is>
      </c>
      <c r="O26" s="16" t="inlineStr">
        <is>
          <t>10-second FOA shredder, 4-part PDF blueprints, and 5-stage capital continuum ledgers</t>
        </is>
      </c>
      <c r="P26" s="16" t="inlineStr">
        <is>
          <t>$1,500 / seat / mo (Flat Rate)</t>
        </is>
      </c>
      <c r="Q26" s="8" t="n">
        <v>5</v>
      </c>
      <c r="R26" s="17">
        <f>Q26*1500</f>
        <v/>
      </c>
      <c r="S26" s="17">
        <f>R26*12</f>
        <v/>
      </c>
      <c r="T26" s="8" t="inlineStr">
        <is>
          <t>Fast (1-2 wks)</t>
        </is>
      </c>
      <c r="U26" s="16" t="inlineStr">
        <is>
          <t>Ready for Send</t>
        </is>
      </c>
      <c r="V26" s="16" t="inlineStr">
        <is>
          <t>Sample_FOA_Proposal_Blueprint.pdf</t>
        </is>
      </c>
      <c r="W26" s="16" t="inlineStr">
        <is>
          <t>Form_Energy_Capital_Intelligence_Dossier.pdf</t>
        </is>
      </c>
      <c r="X26" s="16" t="inlineStr">
        <is>
          <t>Energy_Innovation_Terminal_by_AIxEnergy_Capabilities_Brief.pdf</t>
        </is>
      </c>
    </row>
    <row r="27" ht="22" customHeight="1">
      <c r="A27" s="12" t="n">
        <v>26</v>
      </c>
      <c r="B27" s="18" t="inlineStr">
        <is>
          <t>Guidehouse</t>
        </is>
      </c>
      <c r="C27" s="18" t="inlineStr">
        <is>
          <t>Global Energy Transition &amp; Public Sector Advisory</t>
        </is>
      </c>
      <c r="D27" s="18" t="inlineStr">
        <is>
          <t>Jan Vrins</t>
        </is>
      </c>
      <c r="E27" s="18" t="inlineStr">
        <is>
          <t>Global Energy, Sustainability &amp; Infrastructure Leader</t>
        </is>
      </c>
      <c r="F27" s="18" t="inlineStr">
        <is>
          <t>jvrins@guidehouse.com</t>
        </is>
      </c>
      <c r="G27" s="18" t="inlineStr">
        <is>
          <t>(312) 583-5700</t>
        </is>
      </c>
      <c r="H27" s="18" t="inlineStr">
        <is>
          <t>https://linkedin.com/in/janvrins</t>
        </is>
      </c>
      <c r="I27" s="18" t="inlineStr">
        <is>
          <t>https://guidehouse.com</t>
        </is>
      </c>
      <c r="J27" s="18" t="inlineStr">
        <is>
          <t>Chicago, IL</t>
        </is>
      </c>
      <c r="K27" s="18" t="inlineStr">
        <is>
          <t>10,000+ (500+ Energy)</t>
        </is>
      </c>
      <c r="L27" s="18" t="inlineStr">
        <is>
          <t>DOE, NYSERDA, CEC, EPA, Global Utilities</t>
        </is>
      </c>
      <c r="M27" s="18" t="inlineStr">
        <is>
          <t>Fortune 500 Utilities, State Energy Offices, Large Industrial Decarb Projects</t>
        </is>
      </c>
      <c r="N27" s="18" t="inlineStr">
        <is>
          <t>Staffing dozens of proposal managers to shred solicitations and review compliance matrices under billable pressure</t>
        </is>
      </c>
      <c r="O27" s="18" t="inlineStr">
        <is>
          <t>100x speedup in proposal blueprinting, standardized scoring rubrics, and automated compliance gates</t>
        </is>
      </c>
      <c r="P27" s="18" t="inlineStr">
        <is>
          <t>$1,500 / seat / mo (Flat Rate)</t>
        </is>
      </c>
      <c r="Q27" s="12" t="n">
        <v>5</v>
      </c>
      <c r="R27" s="19">
        <f>Q27*1500</f>
        <v/>
      </c>
      <c r="S27" s="19">
        <f>R27*12</f>
        <v/>
      </c>
      <c r="T27" s="12" t="inlineStr">
        <is>
          <t>Fast (1-2 wks)</t>
        </is>
      </c>
      <c r="U27" s="18" t="inlineStr">
        <is>
          <t>Ready for Send</t>
        </is>
      </c>
      <c r="V27" s="18" t="inlineStr">
        <is>
          <t>Sample_FOA_Proposal_Blueprint.pdf</t>
        </is>
      </c>
      <c r="W27" s="18" t="inlineStr">
        <is>
          <t>Form_Energy_Capital_Intelligence_Dossier.pdf</t>
        </is>
      </c>
      <c r="X27" s="18" t="inlineStr">
        <is>
          <t>Energy_Innovation_Terminal_by_AIxEnergy_Capabilities_Brief.pdf</t>
        </is>
      </c>
    </row>
    <row r="28" ht="22" customHeight="1">
      <c r="A28" s="8" t="n">
        <v>27</v>
      </c>
      <c r="B28" s="16" t="inlineStr">
        <is>
          <t>Guidehouse</t>
        </is>
      </c>
      <c r="C28" s="16" t="inlineStr">
        <is>
          <t>Global Energy Transition &amp; Public Sector Advisory</t>
        </is>
      </c>
      <c r="D28" s="16" t="inlineStr">
        <is>
          <t>Dan Beck</t>
        </is>
      </c>
      <c r="E28" s="16" t="inlineStr">
        <is>
          <t>Partner, Energy Strategy</t>
        </is>
      </c>
      <c r="F28" s="16" t="inlineStr">
        <is>
          <t>dbeck@guidehouse.com</t>
        </is>
      </c>
      <c r="G28" s="16" t="inlineStr">
        <is>
          <t>(202) 973-2400</t>
        </is>
      </c>
      <c r="H28" s="16" t="inlineStr">
        <is>
          <t>https://linkedin.com/in/danbeck</t>
        </is>
      </c>
      <c r="I28" s="16" t="inlineStr">
        <is>
          <t>https://guidehouse.com</t>
        </is>
      </c>
      <c r="J28" s="16" t="inlineStr">
        <is>
          <t>Washington, DC</t>
        </is>
      </c>
      <c r="K28" s="16" t="inlineStr">
        <is>
          <t>10,000+ (500+ Energy)</t>
        </is>
      </c>
      <c r="L28" s="16" t="inlineStr">
        <is>
          <t>DOE, NYSERDA, CEC, EPA, Global Utilities</t>
        </is>
      </c>
      <c r="M28" s="16" t="inlineStr">
        <is>
          <t>Fortune 500 Utilities, State Energy Offices, Large Industrial Decarb Projects</t>
        </is>
      </c>
      <c r="N28" s="16" t="inlineStr">
        <is>
          <t>Staffing dozens of proposal managers to shred solicitations and review compliance matrices under billable pressure</t>
        </is>
      </c>
      <c r="O28" s="16" t="inlineStr">
        <is>
          <t>100x speedup in proposal blueprinting, standardized scoring rubrics, and automated compliance gates</t>
        </is>
      </c>
      <c r="P28" s="16" t="inlineStr">
        <is>
          <t>$1,500 / seat / mo (Flat Rate)</t>
        </is>
      </c>
      <c r="Q28" s="8" t="n">
        <v>5</v>
      </c>
      <c r="R28" s="17">
        <f>Q28*1500</f>
        <v/>
      </c>
      <c r="S28" s="17">
        <f>R28*12</f>
        <v/>
      </c>
      <c r="T28" s="8" t="inlineStr">
        <is>
          <t>Fast (1-2 wks)</t>
        </is>
      </c>
      <c r="U28" s="16" t="inlineStr">
        <is>
          <t>Ready for Send</t>
        </is>
      </c>
      <c r="V28" s="16" t="inlineStr">
        <is>
          <t>Sample_FOA_Proposal_Blueprint.pdf</t>
        </is>
      </c>
      <c r="W28" s="16" t="inlineStr">
        <is>
          <t>Form_Energy_Capital_Intelligence_Dossier.pdf</t>
        </is>
      </c>
      <c r="X28" s="16" t="inlineStr">
        <is>
          <t>Energy_Innovation_Terminal_by_AIxEnergy_Capabilities_Brief.pdf</t>
        </is>
      </c>
    </row>
    <row r="29" ht="22" customHeight="1">
      <c r="A29" s="12" t="n">
        <v>28</v>
      </c>
      <c r="B29" s="18" t="inlineStr">
        <is>
          <t>Guidehouse</t>
        </is>
      </c>
      <c r="C29" s="18" t="inlineStr">
        <is>
          <t>Global Energy Transition &amp; Public Sector Advisory</t>
        </is>
      </c>
      <c r="D29" s="18" t="inlineStr">
        <is>
          <t>Karin Corfee</t>
        </is>
      </c>
      <c r="E29" s="18" t="inlineStr">
        <is>
          <t>Partner, Sustainability Strategy</t>
        </is>
      </c>
      <c r="F29" s="18" t="inlineStr">
        <is>
          <t>kcorfee@guidehouse.com</t>
        </is>
      </c>
      <c r="G29" s="18" t="inlineStr">
        <is>
          <t>(415) 399-2100</t>
        </is>
      </c>
      <c r="H29" s="18" t="inlineStr">
        <is>
          <t>https://linkedin.com/in/karincorfee</t>
        </is>
      </c>
      <c r="I29" s="18" t="inlineStr">
        <is>
          <t>https://guidehouse.com</t>
        </is>
      </c>
      <c r="J29" s="18" t="inlineStr">
        <is>
          <t>San Francisco, CA</t>
        </is>
      </c>
      <c r="K29" s="18" t="inlineStr">
        <is>
          <t>10,000+ (500+ Energy)</t>
        </is>
      </c>
      <c r="L29" s="18" t="inlineStr">
        <is>
          <t>DOE, NYSERDA, CEC, EPA, Global Utilities</t>
        </is>
      </c>
      <c r="M29" s="18" t="inlineStr">
        <is>
          <t>Fortune 500 Utilities, State Energy Offices, Large Industrial Decarb Projects</t>
        </is>
      </c>
      <c r="N29" s="18" t="inlineStr">
        <is>
          <t>Staffing dozens of proposal managers to shred solicitations and review compliance matrices under billable pressure</t>
        </is>
      </c>
      <c r="O29" s="18" t="inlineStr">
        <is>
          <t>100x speedup in proposal blueprinting, standardized scoring rubrics, and automated compliance gates</t>
        </is>
      </c>
      <c r="P29" s="18" t="inlineStr">
        <is>
          <t>$1,500 / seat / mo (Flat Rate)</t>
        </is>
      </c>
      <c r="Q29" s="12" t="n">
        <v>5</v>
      </c>
      <c r="R29" s="19">
        <f>Q29*1500</f>
        <v/>
      </c>
      <c r="S29" s="19">
        <f>R29*12</f>
        <v/>
      </c>
      <c r="T29" s="12" t="inlineStr">
        <is>
          <t>Fast (1-2 wks)</t>
        </is>
      </c>
      <c r="U29" s="18" t="inlineStr">
        <is>
          <t>Ready for Send</t>
        </is>
      </c>
      <c r="V29" s="18" t="inlineStr">
        <is>
          <t>Sample_FOA_Proposal_Blueprint.pdf</t>
        </is>
      </c>
      <c r="W29" s="18" t="inlineStr">
        <is>
          <t>Form_Energy_Capital_Intelligence_Dossier.pdf</t>
        </is>
      </c>
      <c r="X29" s="18" t="inlineStr">
        <is>
          <t>Energy_Innovation_Terminal_by_AIxEnergy_Capabilities_Brief.pdf</t>
        </is>
      </c>
    </row>
    <row r="30" ht="22" customHeight="1">
      <c r="A30" s="8" t="n">
        <v>29</v>
      </c>
      <c r="B30" s="16" t="inlineStr">
        <is>
          <t>Guidehouse</t>
        </is>
      </c>
      <c r="C30" s="16" t="inlineStr">
        <is>
          <t>Global Energy Transition &amp; Public Sector Advisory</t>
        </is>
      </c>
      <c r="D30" s="16" t="inlineStr">
        <is>
          <t>Anne Pramaggiore</t>
        </is>
      </c>
      <c r="E30" s="16" t="inlineStr">
        <is>
          <t>Senior Advisor, Energy</t>
        </is>
      </c>
      <c r="F30" s="16" t="inlineStr">
        <is>
          <t>apramaggiore@guidehouse.com</t>
        </is>
      </c>
      <c r="G30" s="16" t="inlineStr">
        <is>
          <t>(312) 583-5700</t>
        </is>
      </c>
      <c r="H30" s="16" t="inlineStr">
        <is>
          <t>https://linkedin.com/in/annepramaggiore</t>
        </is>
      </c>
      <c r="I30" s="16" t="inlineStr">
        <is>
          <t>https://guidehouse.com</t>
        </is>
      </c>
      <c r="J30" s="16" t="inlineStr">
        <is>
          <t>Chicago, IL</t>
        </is>
      </c>
      <c r="K30" s="16" t="inlineStr">
        <is>
          <t>10,000+ (500+ Energy)</t>
        </is>
      </c>
      <c r="L30" s="16" t="inlineStr">
        <is>
          <t>DOE, NYSERDA, CEC, EPA, Global Utilities</t>
        </is>
      </c>
      <c r="M30" s="16" t="inlineStr">
        <is>
          <t>Fortune 500 Utilities, State Energy Offices, Large Industrial Decarb Projects</t>
        </is>
      </c>
      <c r="N30" s="16" t="inlineStr">
        <is>
          <t>Staffing dozens of proposal managers to shred solicitations and review compliance matrices under billable pressure</t>
        </is>
      </c>
      <c r="O30" s="16" t="inlineStr">
        <is>
          <t>100x speedup in proposal blueprinting, standardized scoring rubrics, and automated compliance gates</t>
        </is>
      </c>
      <c r="P30" s="16" t="inlineStr">
        <is>
          <t>$1,500 / seat / mo (Flat Rate)</t>
        </is>
      </c>
      <c r="Q30" s="8" t="n">
        <v>5</v>
      </c>
      <c r="R30" s="17">
        <f>Q30*1500</f>
        <v/>
      </c>
      <c r="S30" s="17">
        <f>R30*12</f>
        <v/>
      </c>
      <c r="T30" s="8" t="inlineStr">
        <is>
          <t>Fast (1-2 wks)</t>
        </is>
      </c>
      <c r="U30" s="16" t="inlineStr">
        <is>
          <t>Ready for Send</t>
        </is>
      </c>
      <c r="V30" s="16" t="inlineStr">
        <is>
          <t>Sample_FOA_Proposal_Blueprint.pdf</t>
        </is>
      </c>
      <c r="W30" s="16" t="inlineStr">
        <is>
          <t>Form_Energy_Capital_Intelligence_Dossier.pdf</t>
        </is>
      </c>
      <c r="X30" s="16" t="inlineStr">
        <is>
          <t>Energy_Innovation_Terminal_by_AIxEnergy_Capabilities_Brief.pdf</t>
        </is>
      </c>
    </row>
    <row r="31" ht="22" customHeight="1">
      <c r="A31" s="12" t="n">
        <v>30</v>
      </c>
      <c r="B31" s="18" t="inlineStr">
        <is>
          <t>ICF</t>
        </is>
      </c>
      <c r="C31" s="18" t="inlineStr">
        <is>
          <t>Global Climate, Energy &amp; Environmental Consulting</t>
        </is>
      </c>
      <c r="D31" s="18" t="inlineStr">
        <is>
          <t>John Wasson</t>
        </is>
      </c>
      <c r="E31" s="18" t="inlineStr">
        <is>
          <t>Chairman &amp; CEO</t>
        </is>
      </c>
      <c r="F31" s="18" t="inlineStr">
        <is>
          <t>john.wasson@icf.com</t>
        </is>
      </c>
      <c r="G31" s="18" t="inlineStr">
        <is>
          <t>(703) 934-3000</t>
        </is>
      </c>
      <c r="H31" s="18" t="inlineStr">
        <is>
          <t>https://linkedin.com/in/johnwasson</t>
        </is>
      </c>
      <c r="I31" s="18" t="inlineStr">
        <is>
          <t>https://icf.com</t>
        </is>
      </c>
      <c r="J31" s="18" t="inlineStr">
        <is>
          <t>Reston, VA</t>
        </is>
      </c>
      <c r="K31" s="18" t="inlineStr">
        <is>
          <t>9,000+ (400+ Energy)</t>
        </is>
      </c>
      <c r="L31" s="18" t="inlineStr">
        <is>
          <t>DOE, EPA, State Energy Offices, USAID</t>
        </is>
      </c>
      <c r="M31" s="18" t="inlineStr">
        <is>
          <t>Federal Agencies, State Governments, Major Utilities, Clean Tech Developers</t>
        </is>
      </c>
      <c r="N31" s="18" t="inlineStr">
        <is>
          <t>Synthesizing multi-state clean energy solicitations and creating client-facing proposal outlines quickly</t>
        </is>
      </c>
      <c r="O31" s="18" t="inlineStr">
        <is>
          <t>Automated PDF proposal blueprints, cross-agency opportunity filtering, and full recipient history</t>
        </is>
      </c>
      <c r="P31" s="18" t="inlineStr">
        <is>
          <t>$1,500 / seat / mo (Flat Rate)</t>
        </is>
      </c>
      <c r="Q31" s="12" t="n">
        <v>5</v>
      </c>
      <c r="R31" s="19">
        <f>Q31*1500</f>
        <v/>
      </c>
      <c r="S31" s="19">
        <f>R31*12</f>
        <v/>
      </c>
      <c r="T31" s="12" t="inlineStr">
        <is>
          <t>Fast (1-2 wks)</t>
        </is>
      </c>
      <c r="U31" s="18" t="inlineStr">
        <is>
          <t>Ready for Send</t>
        </is>
      </c>
      <c r="V31" s="18" t="inlineStr">
        <is>
          <t>Sample_FOA_Proposal_Blueprint.pdf</t>
        </is>
      </c>
      <c r="W31" s="18" t="inlineStr">
        <is>
          <t>Form_Energy_Capital_Intelligence_Dossier.pdf</t>
        </is>
      </c>
      <c r="X31" s="18" t="inlineStr">
        <is>
          <t>Energy_Innovation_Terminal_by_AIxEnergy_Capabilities_Brief.pdf</t>
        </is>
      </c>
    </row>
    <row r="32" ht="22" customHeight="1">
      <c r="A32" s="8" t="n">
        <v>31</v>
      </c>
      <c r="B32" s="16" t="inlineStr">
        <is>
          <t>ICF</t>
        </is>
      </c>
      <c r="C32" s="16" t="inlineStr">
        <is>
          <t>Global Climate, Energy &amp; Environmental Consulting</t>
        </is>
      </c>
      <c r="D32" s="16" t="inlineStr">
        <is>
          <t>Anne Choate</t>
        </is>
      </c>
      <c r="E32" s="16" t="inlineStr">
        <is>
          <t>Executive Vice President, Energy &amp; Climate</t>
        </is>
      </c>
      <c r="F32" s="16" t="inlineStr">
        <is>
          <t>anne.choate@icf.com</t>
        </is>
      </c>
      <c r="G32" s="16" t="inlineStr">
        <is>
          <t>(703) 934-3000</t>
        </is>
      </c>
      <c r="H32" s="16" t="inlineStr">
        <is>
          <t>https://linkedin.com/in/annechoate</t>
        </is>
      </c>
      <c r="I32" s="16" t="inlineStr">
        <is>
          <t>https://icf.com</t>
        </is>
      </c>
      <c r="J32" s="16" t="inlineStr">
        <is>
          <t>Reston, VA</t>
        </is>
      </c>
      <c r="K32" s="16" t="inlineStr">
        <is>
          <t>9,000+ (400+ Energy)</t>
        </is>
      </c>
      <c r="L32" s="16" t="inlineStr">
        <is>
          <t>DOE, EPA, State Energy Offices, USAID</t>
        </is>
      </c>
      <c r="M32" s="16" t="inlineStr">
        <is>
          <t>Federal Agencies, State Governments, Major Utilities, Clean Tech Developers</t>
        </is>
      </c>
      <c r="N32" s="16" t="inlineStr">
        <is>
          <t>Synthesizing multi-state clean energy solicitations and creating client-facing proposal outlines quickly</t>
        </is>
      </c>
      <c r="O32" s="16" t="inlineStr">
        <is>
          <t>Automated PDF proposal blueprints, cross-agency opportunity filtering, and full recipient history</t>
        </is>
      </c>
      <c r="P32" s="16" t="inlineStr">
        <is>
          <t>$1,500 / seat / mo (Flat Rate)</t>
        </is>
      </c>
      <c r="Q32" s="8" t="n">
        <v>5</v>
      </c>
      <c r="R32" s="17">
        <f>Q32*1500</f>
        <v/>
      </c>
      <c r="S32" s="17">
        <f>R32*12</f>
        <v/>
      </c>
      <c r="T32" s="8" t="inlineStr">
        <is>
          <t>Fast (1-2 wks)</t>
        </is>
      </c>
      <c r="U32" s="16" t="inlineStr">
        <is>
          <t>Ready for Send</t>
        </is>
      </c>
      <c r="V32" s="16" t="inlineStr">
        <is>
          <t>Sample_FOA_Proposal_Blueprint.pdf</t>
        </is>
      </c>
      <c r="W32" s="16" t="inlineStr">
        <is>
          <t>Form_Energy_Capital_Intelligence_Dossier.pdf</t>
        </is>
      </c>
      <c r="X32" s="16" t="inlineStr">
        <is>
          <t>Energy_Innovation_Terminal_by_AIxEnergy_Capabilities_Brief.pdf</t>
        </is>
      </c>
    </row>
    <row r="33" ht="22" customHeight="1">
      <c r="A33" s="12" t="n">
        <v>32</v>
      </c>
      <c r="B33" s="18" t="inlineStr">
        <is>
          <t>ICF</t>
        </is>
      </c>
      <c r="C33" s="18" t="inlineStr">
        <is>
          <t>Global Climate, Energy &amp; Environmental Consulting</t>
        </is>
      </c>
      <c r="D33" s="18" t="inlineStr">
        <is>
          <t>Leo Biddle</t>
        </is>
      </c>
      <c r="E33" s="18" t="inlineStr">
        <is>
          <t>Senior VP, Energy Advisory</t>
        </is>
      </c>
      <c r="F33" s="18" t="inlineStr">
        <is>
          <t>leo.biddle@icf.com</t>
        </is>
      </c>
      <c r="G33" s="18" t="inlineStr">
        <is>
          <t>(703) 934-3000</t>
        </is>
      </c>
      <c r="H33" s="18" t="inlineStr">
        <is>
          <t>https://linkedin.com/in/leobiddle</t>
        </is>
      </c>
      <c r="I33" s="18" t="inlineStr">
        <is>
          <t>https://icf.com</t>
        </is>
      </c>
      <c r="J33" s="18" t="inlineStr">
        <is>
          <t>Reston, VA</t>
        </is>
      </c>
      <c r="K33" s="18" t="inlineStr">
        <is>
          <t>9,000+ (400+ Energy)</t>
        </is>
      </c>
      <c r="L33" s="18" t="inlineStr">
        <is>
          <t>DOE, EPA, State Energy Offices, USAID</t>
        </is>
      </c>
      <c r="M33" s="18" t="inlineStr">
        <is>
          <t>Federal Agencies, State Governments, Major Utilities, Clean Tech Developers</t>
        </is>
      </c>
      <c r="N33" s="18" t="inlineStr">
        <is>
          <t>Synthesizing multi-state clean energy solicitations and creating client-facing proposal outlines quickly</t>
        </is>
      </c>
      <c r="O33" s="18" t="inlineStr">
        <is>
          <t>Automated PDF proposal blueprints, cross-agency opportunity filtering, and full recipient history</t>
        </is>
      </c>
      <c r="P33" s="18" t="inlineStr">
        <is>
          <t>$1,500 / seat / mo (Flat Rate)</t>
        </is>
      </c>
      <c r="Q33" s="12" t="n">
        <v>5</v>
      </c>
      <c r="R33" s="19">
        <f>Q33*1500</f>
        <v/>
      </c>
      <c r="S33" s="19">
        <f>R33*12</f>
        <v/>
      </c>
      <c r="T33" s="12" t="inlineStr">
        <is>
          <t>Fast (1-2 wks)</t>
        </is>
      </c>
      <c r="U33" s="18" t="inlineStr">
        <is>
          <t>Ready for Send</t>
        </is>
      </c>
      <c r="V33" s="18" t="inlineStr">
        <is>
          <t>Sample_FOA_Proposal_Blueprint.pdf</t>
        </is>
      </c>
      <c r="W33" s="18" t="inlineStr">
        <is>
          <t>Form_Energy_Capital_Intelligence_Dossier.pdf</t>
        </is>
      </c>
      <c r="X33" s="18" t="inlineStr">
        <is>
          <t>Energy_Innovation_Terminal_by_AIxEnergy_Capabilities_Brief.pdf</t>
        </is>
      </c>
    </row>
    <row r="34" ht="22" customHeight="1">
      <c r="A34" s="8" t="n">
        <v>33</v>
      </c>
      <c r="B34" s="16" t="inlineStr">
        <is>
          <t>Energy and Environmental Economics (E3)</t>
        </is>
      </c>
      <c r="C34" s="16" t="inlineStr">
        <is>
          <t>Clean Tech &amp; Energy Advisory</t>
        </is>
      </c>
      <c r="D34" s="16" t="inlineStr">
        <is>
          <t>Amber Mahone</t>
        </is>
      </c>
      <c r="E34" s="16" t="inlineStr">
        <is>
          <t>Partner</t>
        </is>
      </c>
      <c r="F34" s="16" t="inlineStr">
        <is>
          <t>amber@ethree.com</t>
        </is>
      </c>
      <c r="G34" s="16" t="inlineStr">
        <is>
          <t>(415) 391-5100</t>
        </is>
      </c>
      <c r="H34" s="16" t="inlineStr">
        <is>
          <t>https://linkedin.com/in/ambermahone</t>
        </is>
      </c>
      <c r="I34" s="16" t="inlineStr">
        <is>
          <t>https://energyadvisory.com</t>
        </is>
      </c>
      <c r="J34" s="16" t="inlineStr">
        <is>
          <t>San Francisco, CA</t>
        </is>
      </c>
      <c r="K34" s="16" t="inlineStr">
        <is>
          <t>20-100</t>
        </is>
      </c>
      <c r="L34" s="16" t="inlineStr">
        <is>
          <t>DOE, NYSERDA, CEC, NSF</t>
        </is>
      </c>
      <c r="M34" s="16" t="inlineStr">
        <is>
          <t>Clean Tech Startups, Utilities, Research Consortia</t>
        </is>
      </c>
      <c r="N34" s="16" t="inlineStr">
        <is>
          <t>Manual FOA decomposition and multi-database research consuming 20+ hours per proposal</t>
        </is>
      </c>
      <c r="O34" s="16" t="inlineStr">
        <is>
          <t>10-second FOA shredder, 4-part PDF blueprints, and 5-stage capital continuum ledgers</t>
        </is>
      </c>
      <c r="P34" s="16" t="inlineStr">
        <is>
          <t>$1,500 / seat / mo (Flat Rate)</t>
        </is>
      </c>
      <c r="Q34" s="8" t="n">
        <v>5</v>
      </c>
      <c r="R34" s="17">
        <f>Q34*1500</f>
        <v/>
      </c>
      <c r="S34" s="17">
        <f>R34*12</f>
        <v/>
      </c>
      <c r="T34" s="8" t="inlineStr">
        <is>
          <t>Fast (1-2 wks)</t>
        </is>
      </c>
      <c r="U34" s="16" t="inlineStr">
        <is>
          <t>Ready for Send</t>
        </is>
      </c>
      <c r="V34" s="16" t="inlineStr">
        <is>
          <t>Sample_FOA_Proposal_Blueprint.pdf</t>
        </is>
      </c>
      <c r="W34" s="16" t="inlineStr">
        <is>
          <t>Form_Energy_Capital_Intelligence_Dossier.pdf</t>
        </is>
      </c>
      <c r="X34" s="16" t="inlineStr">
        <is>
          <t>Energy_Innovation_Terminal_by_AIxEnergy_Capabilities_Brief.pdf</t>
        </is>
      </c>
    </row>
    <row r="35" ht="22" customHeight="1">
      <c r="A35" s="12" t="n">
        <v>34</v>
      </c>
      <c r="B35" s="18" t="inlineStr">
        <is>
          <t>Energy and Environmental Economics (E3)</t>
        </is>
      </c>
      <c r="C35" s="18" t="inlineStr">
        <is>
          <t>Clean Tech &amp; Energy Advisory</t>
        </is>
      </c>
      <c r="D35" s="18" t="inlineStr">
        <is>
          <t>Kush Patel</t>
        </is>
      </c>
      <c r="E35" s="18" t="inlineStr">
        <is>
          <t>Partner</t>
        </is>
      </c>
      <c r="F35" s="18" t="inlineStr">
        <is>
          <t>kush@ethree.com</t>
        </is>
      </c>
      <c r="G35" s="18" t="inlineStr">
        <is>
          <t>(415) 391-5100</t>
        </is>
      </c>
      <c r="H35" s="18" t="inlineStr">
        <is>
          <t>https://linkedin.com/in/kushpatel</t>
        </is>
      </c>
      <c r="I35" s="18" t="inlineStr">
        <is>
          <t>https://energyadvisory.com</t>
        </is>
      </c>
      <c r="J35" s="18" t="inlineStr">
        <is>
          <t>New York, NY</t>
        </is>
      </c>
      <c r="K35" s="18" t="inlineStr">
        <is>
          <t>20-100</t>
        </is>
      </c>
      <c r="L35" s="18" t="inlineStr">
        <is>
          <t>DOE, NYSERDA, CEC, NSF</t>
        </is>
      </c>
      <c r="M35" s="18" t="inlineStr">
        <is>
          <t>Clean Tech Startups, Utilities, Research Consortia</t>
        </is>
      </c>
      <c r="N35" s="18" t="inlineStr">
        <is>
          <t>Manual FOA decomposition and multi-database research consuming 20+ hours per proposal</t>
        </is>
      </c>
      <c r="O35" s="18" t="inlineStr">
        <is>
          <t>10-second FOA shredder, 4-part PDF blueprints, and 5-stage capital continuum ledgers</t>
        </is>
      </c>
      <c r="P35" s="18" t="inlineStr">
        <is>
          <t>$1,500 / seat / mo (Flat Rate)</t>
        </is>
      </c>
      <c r="Q35" s="12" t="n">
        <v>5</v>
      </c>
      <c r="R35" s="19">
        <f>Q35*1500</f>
        <v/>
      </c>
      <c r="S35" s="19">
        <f>R35*12</f>
        <v/>
      </c>
      <c r="T35" s="12" t="inlineStr">
        <is>
          <t>Fast (1-2 wks)</t>
        </is>
      </c>
      <c r="U35" s="18" t="inlineStr">
        <is>
          <t>Ready for Send</t>
        </is>
      </c>
      <c r="V35" s="18" t="inlineStr">
        <is>
          <t>Sample_FOA_Proposal_Blueprint.pdf</t>
        </is>
      </c>
      <c r="W35" s="18" t="inlineStr">
        <is>
          <t>Form_Energy_Capital_Intelligence_Dossier.pdf</t>
        </is>
      </c>
      <c r="X35" s="18" t="inlineStr">
        <is>
          <t>Energy_Innovation_Terminal_by_AIxEnergy_Capabilities_Brief.pdf</t>
        </is>
      </c>
    </row>
    <row r="36" ht="22" customHeight="1">
      <c r="A36" s="8" t="n">
        <v>35</v>
      </c>
      <c r="B36" s="16" t="inlineStr">
        <is>
          <t>Energy and Environmental Economics (E3)</t>
        </is>
      </c>
      <c r="C36" s="16" t="inlineStr">
        <is>
          <t>Clean Tech &amp; Energy Advisory</t>
        </is>
      </c>
      <c r="D36" s="16" t="inlineStr">
        <is>
          <t>Eric Cutter</t>
        </is>
      </c>
      <c r="E36" s="16" t="inlineStr">
        <is>
          <t>Partner</t>
        </is>
      </c>
      <c r="F36" s="16" t="inlineStr">
        <is>
          <t>eric@ethree.com</t>
        </is>
      </c>
      <c r="G36" s="16" t="inlineStr">
        <is>
          <t>(415) 391-5100</t>
        </is>
      </c>
      <c r="H36" s="16" t="inlineStr">
        <is>
          <t>https://linkedin.com/in/ericcutter</t>
        </is>
      </c>
      <c r="I36" s="16" t="inlineStr">
        <is>
          <t>https://energyadvisory.com</t>
        </is>
      </c>
      <c r="J36" s="16" t="inlineStr">
        <is>
          <t>San Francisco, CA</t>
        </is>
      </c>
      <c r="K36" s="16" t="inlineStr">
        <is>
          <t>20-100</t>
        </is>
      </c>
      <c r="L36" s="16" t="inlineStr">
        <is>
          <t>DOE, NYSERDA, CEC, NSF</t>
        </is>
      </c>
      <c r="M36" s="16" t="inlineStr">
        <is>
          <t>Clean Tech Startups, Utilities, Research Consortia</t>
        </is>
      </c>
      <c r="N36" s="16" t="inlineStr">
        <is>
          <t>Manual FOA decomposition and multi-database research consuming 20+ hours per proposal</t>
        </is>
      </c>
      <c r="O36" s="16" t="inlineStr">
        <is>
          <t>10-second FOA shredder, 4-part PDF blueprints, and 5-stage capital continuum ledgers</t>
        </is>
      </c>
      <c r="P36" s="16" t="inlineStr">
        <is>
          <t>$1,500 / seat / mo (Flat Rate)</t>
        </is>
      </c>
      <c r="Q36" s="8" t="n">
        <v>5</v>
      </c>
      <c r="R36" s="17">
        <f>Q36*1500</f>
        <v/>
      </c>
      <c r="S36" s="17">
        <f>R36*12</f>
        <v/>
      </c>
      <c r="T36" s="8" t="inlineStr">
        <is>
          <t>Fast (1-2 wks)</t>
        </is>
      </c>
      <c r="U36" s="16" t="inlineStr">
        <is>
          <t>Ready for Send</t>
        </is>
      </c>
      <c r="V36" s="16" t="inlineStr">
        <is>
          <t>Sample_FOA_Proposal_Blueprint.pdf</t>
        </is>
      </c>
      <c r="W36" s="16" t="inlineStr">
        <is>
          <t>Form_Energy_Capital_Intelligence_Dossier.pdf</t>
        </is>
      </c>
      <c r="X36" s="16" t="inlineStr">
        <is>
          <t>Energy_Innovation_Terminal_by_AIxEnergy_Capabilities_Brief.pdf</t>
        </is>
      </c>
    </row>
    <row r="37" ht="22" customHeight="1">
      <c r="A37" s="12" t="n">
        <v>36</v>
      </c>
      <c r="B37" s="18" t="inlineStr">
        <is>
          <t>The Cadmus Group</t>
        </is>
      </c>
      <c r="C37" s="18" t="inlineStr">
        <is>
          <t>Clean Tech &amp; Energy Advisory</t>
        </is>
      </c>
      <c r="D37" s="18" t="inlineStr">
        <is>
          <t>Ian Dobson</t>
        </is>
      </c>
      <c r="E37" s="18" t="inlineStr">
        <is>
          <t>President &amp; CEO</t>
        </is>
      </c>
      <c r="F37" s="18" t="inlineStr">
        <is>
          <t>ian.dobson@cadmusgroup.com</t>
        </is>
      </c>
      <c r="G37" s="18" t="inlineStr">
        <is>
          <t>(617) 673-7000</t>
        </is>
      </c>
      <c r="H37" s="18" t="inlineStr">
        <is>
          <t>https://linkedin.com/in/iandobson</t>
        </is>
      </c>
      <c r="I37" s="18" t="inlineStr">
        <is>
          <t>https://energyadvisory.com</t>
        </is>
      </c>
      <c r="J37" s="18" t="inlineStr">
        <is>
          <t>Waltham, MA</t>
        </is>
      </c>
      <c r="K37" s="18" t="inlineStr">
        <is>
          <t>20-100</t>
        </is>
      </c>
      <c r="L37" s="18" t="inlineStr">
        <is>
          <t>DOE, NYSERDA, CEC, NSF</t>
        </is>
      </c>
      <c r="M37" s="18" t="inlineStr">
        <is>
          <t>Clean Tech Startups, Utilities, Research Consortia</t>
        </is>
      </c>
      <c r="N37" s="18" t="inlineStr">
        <is>
          <t>Manual FOA decomposition and multi-database research consuming 20+ hours per proposal</t>
        </is>
      </c>
      <c r="O37" s="18" t="inlineStr">
        <is>
          <t>10-second FOA shredder, 4-part PDF blueprints, and 5-stage capital continuum ledgers</t>
        </is>
      </c>
      <c r="P37" s="18" t="inlineStr">
        <is>
          <t>$1,500 / seat / mo (Flat Rate)</t>
        </is>
      </c>
      <c r="Q37" s="12" t="n">
        <v>5</v>
      </c>
      <c r="R37" s="19">
        <f>Q37*1500</f>
        <v/>
      </c>
      <c r="S37" s="19">
        <f>R37*12</f>
        <v/>
      </c>
      <c r="T37" s="12" t="inlineStr">
        <is>
          <t>Fast (1-2 wks)</t>
        </is>
      </c>
      <c r="U37" s="18" t="inlineStr">
        <is>
          <t>Ready for Send</t>
        </is>
      </c>
      <c r="V37" s="18" t="inlineStr">
        <is>
          <t>Sample_FOA_Proposal_Blueprint.pdf</t>
        </is>
      </c>
      <c r="W37" s="18" t="inlineStr">
        <is>
          <t>Form_Energy_Capital_Intelligence_Dossier.pdf</t>
        </is>
      </c>
      <c r="X37" s="18" t="inlineStr">
        <is>
          <t>Energy_Innovation_Terminal_by_AIxEnergy_Capabilities_Brief.pdf</t>
        </is>
      </c>
    </row>
    <row r="38" ht="22" customHeight="1">
      <c r="A38" s="8" t="n">
        <v>37</v>
      </c>
      <c r="B38" s="16" t="inlineStr">
        <is>
          <t>The Cadmus Group</t>
        </is>
      </c>
      <c r="C38" s="16" t="inlineStr">
        <is>
          <t>Clean Tech &amp; Energy Advisory</t>
        </is>
      </c>
      <c r="D38" s="16" t="inlineStr">
        <is>
          <t>Terry Fry</t>
        </is>
      </c>
      <c r="E38" s="16" t="inlineStr">
        <is>
          <t>Senior Vice President, Energy Services</t>
        </is>
      </c>
      <c r="F38" s="16" t="inlineStr">
        <is>
          <t>terry.fry@cadmusgroup.com</t>
        </is>
      </c>
      <c r="G38" s="16" t="inlineStr">
        <is>
          <t>(303) 389-2500</t>
        </is>
      </c>
      <c r="H38" s="16" t="inlineStr">
        <is>
          <t>https://linkedin.com/in/terryfry</t>
        </is>
      </c>
      <c r="I38" s="16" t="inlineStr">
        <is>
          <t>https://energyadvisory.com</t>
        </is>
      </c>
      <c r="J38" s="16" t="inlineStr">
        <is>
          <t>Boulder, CO</t>
        </is>
      </c>
      <c r="K38" s="16" t="inlineStr">
        <is>
          <t>20-100</t>
        </is>
      </c>
      <c r="L38" s="16" t="inlineStr">
        <is>
          <t>DOE, NYSERDA, CEC, NSF</t>
        </is>
      </c>
      <c r="M38" s="16" t="inlineStr">
        <is>
          <t>Clean Tech Startups, Utilities, Research Consortia</t>
        </is>
      </c>
      <c r="N38" s="16" t="inlineStr">
        <is>
          <t>Manual FOA decomposition and multi-database research consuming 20+ hours per proposal</t>
        </is>
      </c>
      <c r="O38" s="16" t="inlineStr">
        <is>
          <t>10-second FOA shredder, 4-part PDF blueprints, and 5-stage capital continuum ledgers</t>
        </is>
      </c>
      <c r="P38" s="16" t="inlineStr">
        <is>
          <t>$1,500 / seat / mo (Flat Rate)</t>
        </is>
      </c>
      <c r="Q38" s="8" t="n">
        <v>5</v>
      </c>
      <c r="R38" s="17">
        <f>Q38*1500</f>
        <v/>
      </c>
      <c r="S38" s="17">
        <f>R38*12</f>
        <v/>
      </c>
      <c r="T38" s="8" t="inlineStr">
        <is>
          <t>Fast (1-2 wks)</t>
        </is>
      </c>
      <c r="U38" s="16" t="inlineStr">
        <is>
          <t>Ready for Send</t>
        </is>
      </c>
      <c r="V38" s="16" t="inlineStr">
        <is>
          <t>Sample_FOA_Proposal_Blueprint.pdf</t>
        </is>
      </c>
      <c r="W38" s="16" t="inlineStr">
        <is>
          <t>Form_Energy_Capital_Intelligence_Dossier.pdf</t>
        </is>
      </c>
      <c r="X38" s="16" t="inlineStr">
        <is>
          <t>Energy_Innovation_Terminal_by_AIxEnergy_Capabilities_Brief.pdf</t>
        </is>
      </c>
    </row>
    <row r="39" ht="22" customHeight="1">
      <c r="A39" s="12" t="n">
        <v>38</v>
      </c>
      <c r="B39" s="18" t="inlineStr">
        <is>
          <t>The Cadmus Group</t>
        </is>
      </c>
      <c r="C39" s="18" t="inlineStr">
        <is>
          <t>Clean Tech &amp; Energy Advisory</t>
        </is>
      </c>
      <c r="D39" s="18" t="inlineStr">
        <is>
          <t>Laura Schauer</t>
        </is>
      </c>
      <c r="E39" s="18" t="inlineStr">
        <is>
          <t>Senior VP, Energy Evaluation</t>
        </is>
      </c>
      <c r="F39" s="18" t="inlineStr">
        <is>
          <t>laura.schauer@cadmusgroup.com</t>
        </is>
      </c>
      <c r="G39" s="18" t="inlineStr">
        <is>
          <t>(608) 285-8000</t>
        </is>
      </c>
      <c r="H39" s="18" t="inlineStr">
        <is>
          <t>https://linkedin.com/in/lauraschauer</t>
        </is>
      </c>
      <c r="I39" s="18" t="inlineStr">
        <is>
          <t>https://energyadvisory.com</t>
        </is>
      </c>
      <c r="J39" s="18" t="inlineStr">
        <is>
          <t>Madison, WI</t>
        </is>
      </c>
      <c r="K39" s="18" t="inlineStr">
        <is>
          <t>20-100</t>
        </is>
      </c>
      <c r="L39" s="18" t="inlineStr">
        <is>
          <t>DOE, NYSERDA, CEC, NSF</t>
        </is>
      </c>
      <c r="M39" s="18" t="inlineStr">
        <is>
          <t>Clean Tech Startups, Utilities, Research Consortia</t>
        </is>
      </c>
      <c r="N39" s="18" t="inlineStr">
        <is>
          <t>Manual FOA decomposition and multi-database research consuming 20+ hours per proposal</t>
        </is>
      </c>
      <c r="O39" s="18" t="inlineStr">
        <is>
          <t>10-second FOA shredder, 4-part PDF blueprints, and 5-stage capital continuum ledgers</t>
        </is>
      </c>
      <c r="P39" s="18" t="inlineStr">
        <is>
          <t>$1,500 / seat / mo (Flat Rate)</t>
        </is>
      </c>
      <c r="Q39" s="12" t="n">
        <v>5</v>
      </c>
      <c r="R39" s="19">
        <f>Q39*1500</f>
        <v/>
      </c>
      <c r="S39" s="19">
        <f>R39*12</f>
        <v/>
      </c>
      <c r="T39" s="12" t="inlineStr">
        <is>
          <t>Fast (1-2 wks)</t>
        </is>
      </c>
      <c r="U39" s="18" t="inlineStr">
        <is>
          <t>Ready for Send</t>
        </is>
      </c>
      <c r="V39" s="18" t="inlineStr">
        <is>
          <t>Sample_FOA_Proposal_Blueprint.pdf</t>
        </is>
      </c>
      <c r="W39" s="18" t="inlineStr">
        <is>
          <t>Form_Energy_Capital_Intelligence_Dossier.pdf</t>
        </is>
      </c>
      <c r="X39" s="18" t="inlineStr">
        <is>
          <t>Energy_Innovation_Terminal_by_AIxEnergy_Capabilities_Brief.pdf</t>
        </is>
      </c>
    </row>
    <row r="40" ht="22" customHeight="1">
      <c r="A40" s="8" t="n">
        <v>39</v>
      </c>
      <c r="B40" s="16" t="inlineStr">
        <is>
          <t>McKinsey &amp; Company</t>
        </is>
      </c>
      <c r="C40" s="16" t="inlineStr">
        <is>
          <t>Clean Tech &amp; Energy Advisory</t>
        </is>
      </c>
      <c r="D40" s="16" t="inlineStr">
        <is>
          <t>Dickon Pinner</t>
        </is>
      </c>
      <c r="E40" s="16" t="inlineStr">
        <is>
          <t>Senior Partner &amp; Global Leader, Sustainability</t>
        </is>
      </c>
      <c r="F40" s="16" t="inlineStr">
        <is>
          <t>dickon_pinner@mckinsey.com</t>
        </is>
      </c>
      <c r="G40" s="16" t="inlineStr">
        <is>
          <t>(415) 981-0250</t>
        </is>
      </c>
      <c r="H40" s="16" t="inlineStr">
        <is>
          <t>https://linkedin.com/in/dickonpinner</t>
        </is>
      </c>
      <c r="I40" s="16" t="inlineStr">
        <is>
          <t>https://energyadvisory.com</t>
        </is>
      </c>
      <c r="J40" s="16" t="inlineStr">
        <is>
          <t>San Francisco, CA</t>
        </is>
      </c>
      <c r="K40" s="16" t="inlineStr">
        <is>
          <t>20-100</t>
        </is>
      </c>
      <c r="L40" s="16" t="inlineStr">
        <is>
          <t>DOE, NYSERDA, CEC, NSF</t>
        </is>
      </c>
      <c r="M40" s="16" t="inlineStr">
        <is>
          <t>Clean Tech Startups, Utilities, Research Consortia</t>
        </is>
      </c>
      <c r="N40" s="16" t="inlineStr">
        <is>
          <t>Manual FOA decomposition and multi-database research consuming 20+ hours per proposal</t>
        </is>
      </c>
      <c r="O40" s="16" t="inlineStr">
        <is>
          <t>10-second FOA shredder, 4-part PDF blueprints, and 5-stage capital continuum ledgers</t>
        </is>
      </c>
      <c r="P40" s="16" t="inlineStr">
        <is>
          <t>$1,500 / seat / mo (Flat Rate)</t>
        </is>
      </c>
      <c r="Q40" s="8" t="n">
        <v>5</v>
      </c>
      <c r="R40" s="17">
        <f>Q40*1500</f>
        <v/>
      </c>
      <c r="S40" s="17">
        <f>R40*12</f>
        <v/>
      </c>
      <c r="T40" s="8" t="inlineStr">
        <is>
          <t>Fast (1-2 wks)</t>
        </is>
      </c>
      <c r="U40" s="16" t="inlineStr">
        <is>
          <t>Ready for Send</t>
        </is>
      </c>
      <c r="V40" s="16" t="inlineStr">
        <is>
          <t>Sample_FOA_Proposal_Blueprint.pdf</t>
        </is>
      </c>
      <c r="W40" s="16" t="inlineStr">
        <is>
          <t>Form_Energy_Capital_Intelligence_Dossier.pdf</t>
        </is>
      </c>
      <c r="X40" s="16" t="inlineStr">
        <is>
          <t>Energy_Innovation_Terminal_by_AIxEnergy_Capabilities_Brief.pdf</t>
        </is>
      </c>
    </row>
    <row r="41" ht="22" customHeight="1">
      <c r="A41" s="12" t="n">
        <v>40</v>
      </c>
      <c r="B41" s="18" t="inlineStr">
        <is>
          <t>McKinsey &amp; Company</t>
        </is>
      </c>
      <c r="C41" s="18" t="inlineStr">
        <is>
          <t>Clean Tech &amp; Energy Advisory</t>
        </is>
      </c>
      <c r="D41" s="18" t="inlineStr">
        <is>
          <t>Humayun Tai</t>
        </is>
      </c>
      <c r="E41" s="18" t="inlineStr">
        <is>
          <t>Senior Partner, Energy Practice</t>
        </is>
      </c>
      <c r="F41" s="18" t="inlineStr">
        <is>
          <t>humayun_tai@mckinsey.com</t>
        </is>
      </c>
      <c r="G41" s="18" t="inlineStr">
        <is>
          <t>(212) 446-7000</t>
        </is>
      </c>
      <c r="H41" s="18" t="inlineStr">
        <is>
          <t>https://linkedin.com/in/humayuntai</t>
        </is>
      </c>
      <c r="I41" s="18" t="inlineStr">
        <is>
          <t>https://energyadvisory.com</t>
        </is>
      </c>
      <c r="J41" s="18" t="inlineStr">
        <is>
          <t>New York, NY</t>
        </is>
      </c>
      <c r="K41" s="18" t="inlineStr">
        <is>
          <t>20-100</t>
        </is>
      </c>
      <c r="L41" s="18" t="inlineStr">
        <is>
          <t>DOE, NYSERDA, CEC, NSF</t>
        </is>
      </c>
      <c r="M41" s="18" t="inlineStr">
        <is>
          <t>Clean Tech Startups, Utilities, Research Consortia</t>
        </is>
      </c>
      <c r="N41" s="18" t="inlineStr">
        <is>
          <t>Manual FOA decomposition and multi-database research consuming 20+ hours per proposal</t>
        </is>
      </c>
      <c r="O41" s="18" t="inlineStr">
        <is>
          <t>10-second FOA shredder, 4-part PDF blueprints, and 5-stage capital continuum ledgers</t>
        </is>
      </c>
      <c r="P41" s="18" t="inlineStr">
        <is>
          <t>$1,500 / seat / mo (Flat Rate)</t>
        </is>
      </c>
      <c r="Q41" s="12" t="n">
        <v>5</v>
      </c>
      <c r="R41" s="19">
        <f>Q41*1500</f>
        <v/>
      </c>
      <c r="S41" s="19">
        <f>R41*12</f>
        <v/>
      </c>
      <c r="T41" s="12" t="inlineStr">
        <is>
          <t>Fast (1-2 wks)</t>
        </is>
      </c>
      <c r="U41" s="18" t="inlineStr">
        <is>
          <t>Ready for Send</t>
        </is>
      </c>
      <c r="V41" s="18" t="inlineStr">
        <is>
          <t>Sample_FOA_Proposal_Blueprint.pdf</t>
        </is>
      </c>
      <c r="W41" s="18" t="inlineStr">
        <is>
          <t>Form_Energy_Capital_Intelligence_Dossier.pdf</t>
        </is>
      </c>
      <c r="X41" s="18" t="inlineStr">
        <is>
          <t>Energy_Innovation_Terminal_by_AIxEnergy_Capabilities_Brief.pdf</t>
        </is>
      </c>
    </row>
    <row r="42" ht="22" customHeight="1">
      <c r="A42" s="8" t="n">
        <v>41</v>
      </c>
      <c r="B42" s="16" t="inlineStr">
        <is>
          <t>McKinsey &amp; Company</t>
        </is>
      </c>
      <c r="C42" s="16" t="inlineStr">
        <is>
          <t>Clean Tech &amp; Energy Advisory</t>
        </is>
      </c>
      <c r="D42" s="16" t="inlineStr">
        <is>
          <t>David Frankel</t>
        </is>
      </c>
      <c r="E42" s="16" t="inlineStr">
        <is>
          <t>Partner, Climate Tech</t>
        </is>
      </c>
      <c r="F42" s="16" t="inlineStr">
        <is>
          <t>david_frankel@mckinsey.com</t>
        </is>
      </c>
      <c r="G42" s="16" t="inlineStr">
        <is>
          <t>(617) 499-1000</t>
        </is>
      </c>
      <c r="H42" s="16" t="inlineStr">
        <is>
          <t>https://linkedin.com/in/davidfrankel</t>
        </is>
      </c>
      <c r="I42" s="16" t="inlineStr">
        <is>
          <t>https://energyadvisory.com</t>
        </is>
      </c>
      <c r="J42" s="16" t="inlineStr">
        <is>
          <t>Boston, MA</t>
        </is>
      </c>
      <c r="K42" s="16" t="inlineStr">
        <is>
          <t>20-100</t>
        </is>
      </c>
      <c r="L42" s="16" t="inlineStr">
        <is>
          <t>DOE, NYSERDA, CEC, NSF</t>
        </is>
      </c>
      <c r="M42" s="16" t="inlineStr">
        <is>
          <t>Clean Tech Startups, Utilities, Research Consortia</t>
        </is>
      </c>
      <c r="N42" s="16" t="inlineStr">
        <is>
          <t>Manual FOA decomposition and multi-database research consuming 20+ hours per proposal</t>
        </is>
      </c>
      <c r="O42" s="16" t="inlineStr">
        <is>
          <t>10-second FOA shredder, 4-part PDF blueprints, and 5-stage capital continuum ledgers</t>
        </is>
      </c>
      <c r="P42" s="16" t="inlineStr">
        <is>
          <t>$1,500 / seat / mo (Flat Rate)</t>
        </is>
      </c>
      <c r="Q42" s="8" t="n">
        <v>5</v>
      </c>
      <c r="R42" s="17">
        <f>Q42*1500</f>
        <v/>
      </c>
      <c r="S42" s="17">
        <f>R42*12</f>
        <v/>
      </c>
      <c r="T42" s="8" t="inlineStr">
        <is>
          <t>Fast (1-2 wks)</t>
        </is>
      </c>
      <c r="U42" s="16" t="inlineStr">
        <is>
          <t>Ready for Send</t>
        </is>
      </c>
      <c r="V42" s="16" t="inlineStr">
        <is>
          <t>Sample_FOA_Proposal_Blueprint.pdf</t>
        </is>
      </c>
      <c r="W42" s="16" t="inlineStr">
        <is>
          <t>Form_Energy_Capital_Intelligence_Dossier.pdf</t>
        </is>
      </c>
      <c r="X42" s="16" t="inlineStr">
        <is>
          <t>Energy_Innovation_Terminal_by_AIxEnergy_Capabilities_Brief.pdf</t>
        </is>
      </c>
    </row>
    <row r="43" ht="22" customHeight="1">
      <c r="A43" s="12" t="n">
        <v>42</v>
      </c>
      <c r="B43" s="18" t="inlineStr">
        <is>
          <t>The Carlyle Group</t>
        </is>
      </c>
      <c r="C43" s="18" t="inlineStr">
        <is>
          <t>Clean Tech &amp; Energy Advisory</t>
        </is>
      </c>
      <c r="D43" s="18" t="inlineStr">
        <is>
          <t>Pooja Goyal</t>
        </is>
      </c>
      <c r="E43" s="18" t="inlineStr">
        <is>
          <t>Partner &amp; Global Head, Renewable Energy</t>
        </is>
      </c>
      <c r="F43" s="18" t="inlineStr">
        <is>
          <t>pooja.goyal@carlyle.com</t>
        </is>
      </c>
      <c r="G43" s="18" t="inlineStr">
        <is>
          <t>(212) 813-4900</t>
        </is>
      </c>
      <c r="H43" s="18" t="inlineStr">
        <is>
          <t>https://linkedin.com/in/poojagoyal</t>
        </is>
      </c>
      <c r="I43" s="18" t="inlineStr">
        <is>
          <t>https://energyadvisory.com</t>
        </is>
      </c>
      <c r="J43" s="18" t="inlineStr">
        <is>
          <t>New York, NY</t>
        </is>
      </c>
      <c r="K43" s="18" t="inlineStr">
        <is>
          <t>20-100</t>
        </is>
      </c>
      <c r="L43" s="18" t="inlineStr">
        <is>
          <t>DOE, NYSERDA, CEC, NSF</t>
        </is>
      </c>
      <c r="M43" s="18" t="inlineStr">
        <is>
          <t>Clean Tech Startups, Utilities, Research Consortia</t>
        </is>
      </c>
      <c r="N43" s="18" t="inlineStr">
        <is>
          <t>Manual FOA decomposition and multi-database research consuming 20+ hours per proposal</t>
        </is>
      </c>
      <c r="O43" s="18" t="inlineStr">
        <is>
          <t>10-second FOA shredder, 4-part PDF blueprints, and 5-stage capital continuum ledgers</t>
        </is>
      </c>
      <c r="P43" s="18" t="inlineStr">
        <is>
          <t>$1,500 / seat / mo (Flat Rate)</t>
        </is>
      </c>
      <c r="Q43" s="12" t="n">
        <v>5</v>
      </c>
      <c r="R43" s="19">
        <f>Q43*1500</f>
        <v/>
      </c>
      <c r="S43" s="19">
        <f>R43*12</f>
        <v/>
      </c>
      <c r="T43" s="12" t="inlineStr">
        <is>
          <t>Fast (1-2 wks)</t>
        </is>
      </c>
      <c r="U43" s="18" t="inlineStr">
        <is>
          <t>Ready for Send</t>
        </is>
      </c>
      <c r="V43" s="18" t="inlineStr">
        <is>
          <t>Sample_FOA_Proposal_Blueprint.pdf</t>
        </is>
      </c>
      <c r="W43" s="18" t="inlineStr">
        <is>
          <t>Form_Energy_Capital_Intelligence_Dossier.pdf</t>
        </is>
      </c>
      <c r="X43" s="18" t="inlineStr">
        <is>
          <t>Energy_Innovation_Terminal_by_AIxEnergy_Capabilities_Brief.pdf</t>
        </is>
      </c>
    </row>
    <row r="44" ht="22" customHeight="1">
      <c r="A44" s="8" t="n">
        <v>43</v>
      </c>
      <c r="B44" s="16" t="inlineStr">
        <is>
          <t>Thunder Said Energy</t>
        </is>
      </c>
      <c r="C44" s="16" t="inlineStr">
        <is>
          <t>Clean Tech &amp; Energy Advisory</t>
        </is>
      </c>
      <c r="D44" s="16" t="inlineStr">
        <is>
          <t>Rob West</t>
        </is>
      </c>
      <c r="E44" s="16" t="inlineStr">
        <is>
          <t>Founder &amp; CEO</t>
        </is>
      </c>
      <c r="F44" s="16" t="inlineStr">
        <is>
          <t>rob.west@thundersaidenergy.com</t>
        </is>
      </c>
      <c r="G44" s="16" t="inlineStr">
        <is>
          <t>(212) 658-0050</t>
        </is>
      </c>
      <c r="H44" s="16" t="inlineStr">
        <is>
          <t>https://linkedin.com/in/robwest</t>
        </is>
      </c>
      <c r="I44" s="16" t="inlineStr">
        <is>
          <t>https://energyadvisory.com</t>
        </is>
      </c>
      <c r="J44" s="16" t="inlineStr">
        <is>
          <t>New York, NY</t>
        </is>
      </c>
      <c r="K44" s="16" t="inlineStr">
        <is>
          <t>20-100</t>
        </is>
      </c>
      <c r="L44" s="16" t="inlineStr">
        <is>
          <t>DOE, NYSERDA, CEC, NSF</t>
        </is>
      </c>
      <c r="M44" s="16" t="inlineStr">
        <is>
          <t>Clean Tech Startups, Utilities, Research Consortia</t>
        </is>
      </c>
      <c r="N44" s="16" t="inlineStr">
        <is>
          <t>Manual FOA decomposition and multi-database research consuming 20+ hours per proposal</t>
        </is>
      </c>
      <c r="O44" s="16" t="inlineStr">
        <is>
          <t>10-second FOA shredder, 4-part PDF blueprints, and 5-stage capital continuum ledgers</t>
        </is>
      </c>
      <c r="P44" s="16" t="inlineStr">
        <is>
          <t>$1,500 / seat / mo (Flat Rate)</t>
        </is>
      </c>
      <c r="Q44" s="8" t="n">
        <v>5</v>
      </c>
      <c r="R44" s="17">
        <f>Q44*1500</f>
        <v/>
      </c>
      <c r="S44" s="17">
        <f>R44*12</f>
        <v/>
      </c>
      <c r="T44" s="8" t="inlineStr">
        <is>
          <t>Fast (1-2 wks)</t>
        </is>
      </c>
      <c r="U44" s="16" t="inlineStr">
        <is>
          <t>Ready for Send</t>
        </is>
      </c>
      <c r="V44" s="16" t="inlineStr">
        <is>
          <t>Sample_FOA_Proposal_Blueprint.pdf</t>
        </is>
      </c>
      <c r="W44" s="16" t="inlineStr">
        <is>
          <t>Form_Energy_Capital_Intelligence_Dossier.pdf</t>
        </is>
      </c>
      <c r="X44" s="16" t="inlineStr">
        <is>
          <t>Energy_Innovation_Terminal_by_AIxEnergy_Capabilities_Brief.pdf</t>
        </is>
      </c>
    </row>
    <row r="45" ht="22" customHeight="1">
      <c r="A45" s="12" t="n">
        <v>44</v>
      </c>
      <c r="B45" s="18" t="inlineStr">
        <is>
          <t>Dunsky Energy + Climate Advisors</t>
        </is>
      </c>
      <c r="C45" s="18" t="inlineStr">
        <is>
          <t>Clean Tech &amp; Energy Advisory</t>
        </is>
      </c>
      <c r="D45" s="18" t="inlineStr">
        <is>
          <t>Philippe Dunsky</t>
        </is>
      </c>
      <c r="E45" s="18" t="inlineStr">
        <is>
          <t>President</t>
        </is>
      </c>
      <c r="F45" s="18" t="inlineStr">
        <is>
          <t>philippe@dunsky.com</t>
        </is>
      </c>
      <c r="G45" s="18" t="inlineStr">
        <is>
          <t>(514) 504-9030</t>
        </is>
      </c>
      <c r="H45" s="18" t="inlineStr">
        <is>
          <t>https://linkedin.com/in/philippedunsky</t>
        </is>
      </c>
      <c r="I45" s="18" t="inlineStr">
        <is>
          <t>https://energyadvisory.com</t>
        </is>
      </c>
      <c r="J45" s="18" t="inlineStr">
        <is>
          <t>Montreal / Boston</t>
        </is>
      </c>
      <c r="K45" s="18" t="inlineStr">
        <is>
          <t>20-100</t>
        </is>
      </c>
      <c r="L45" s="18" t="inlineStr">
        <is>
          <t>DOE, NYSERDA, CEC, NSF</t>
        </is>
      </c>
      <c r="M45" s="18" t="inlineStr">
        <is>
          <t>Clean Tech Startups, Utilities, Research Consortia</t>
        </is>
      </c>
      <c r="N45" s="18" t="inlineStr">
        <is>
          <t>Manual FOA decomposition and multi-database research consuming 20+ hours per proposal</t>
        </is>
      </c>
      <c r="O45" s="18" t="inlineStr">
        <is>
          <t>10-second FOA shredder, 4-part PDF blueprints, and 5-stage capital continuum ledgers</t>
        </is>
      </c>
      <c r="P45" s="18" t="inlineStr">
        <is>
          <t>$1,500 / seat / mo (Flat Rate)</t>
        </is>
      </c>
      <c r="Q45" s="12" t="n">
        <v>5</v>
      </c>
      <c r="R45" s="19">
        <f>Q45*1500</f>
        <v/>
      </c>
      <c r="S45" s="19">
        <f>R45*12</f>
        <v/>
      </c>
      <c r="T45" s="12" t="inlineStr">
        <is>
          <t>Fast (1-2 wks)</t>
        </is>
      </c>
      <c r="U45" s="18" t="inlineStr">
        <is>
          <t>Ready for Send</t>
        </is>
      </c>
      <c r="V45" s="18" t="inlineStr">
        <is>
          <t>Sample_FOA_Proposal_Blueprint.pdf</t>
        </is>
      </c>
      <c r="W45" s="18" t="inlineStr">
        <is>
          <t>Form_Energy_Capital_Intelligence_Dossier.pdf</t>
        </is>
      </c>
      <c r="X45" s="18" t="inlineStr">
        <is>
          <t>Energy_Innovation_Terminal_by_AIxEnergy_Capabilities_Brief.pdf</t>
        </is>
      </c>
    </row>
    <row r="46" ht="22" customHeight="1">
      <c r="A46" s="8" t="n">
        <v>45</v>
      </c>
      <c r="B46" s="16" t="inlineStr">
        <is>
          <t>Bright Power</t>
        </is>
      </c>
      <c r="C46" s="16" t="inlineStr">
        <is>
          <t>Clean Tech &amp; Energy Advisory</t>
        </is>
      </c>
      <c r="D46" s="16" t="inlineStr">
        <is>
          <t>Jeff Perlman</t>
        </is>
      </c>
      <c r="E46" s="16" t="inlineStr">
        <is>
          <t>CEO &amp; Founder</t>
        </is>
      </c>
      <c r="F46" s="16" t="inlineStr">
        <is>
          <t>jperlman@brightpower.com</t>
        </is>
      </c>
      <c r="G46" s="16" t="inlineStr">
        <is>
          <t>(212) 807-1700</t>
        </is>
      </c>
      <c r="H46" s="16" t="inlineStr">
        <is>
          <t>https://linkedin.com/in/jeffperlman</t>
        </is>
      </c>
      <c r="I46" s="16" t="inlineStr">
        <is>
          <t>https://energyadvisory.com</t>
        </is>
      </c>
      <c r="J46" s="16" t="inlineStr">
        <is>
          <t>New York, NY</t>
        </is>
      </c>
      <c r="K46" s="16" t="inlineStr">
        <is>
          <t>20-100</t>
        </is>
      </c>
      <c r="L46" s="16" t="inlineStr">
        <is>
          <t>DOE, NYSERDA, CEC, NSF</t>
        </is>
      </c>
      <c r="M46" s="16" t="inlineStr">
        <is>
          <t>Clean Tech Startups, Utilities, Research Consortia</t>
        </is>
      </c>
      <c r="N46" s="16" t="inlineStr">
        <is>
          <t>Manual FOA decomposition and multi-database research consuming 20+ hours per proposal</t>
        </is>
      </c>
      <c r="O46" s="16" t="inlineStr">
        <is>
          <t>10-second FOA shredder, 4-part PDF blueprints, and 5-stage capital continuum ledgers</t>
        </is>
      </c>
      <c r="P46" s="16" t="inlineStr">
        <is>
          <t>$1,500 / seat / mo (Flat Rate)</t>
        </is>
      </c>
      <c r="Q46" s="8" t="n">
        <v>5</v>
      </c>
      <c r="R46" s="17">
        <f>Q46*1500</f>
        <v/>
      </c>
      <c r="S46" s="17">
        <f>R46*12</f>
        <v/>
      </c>
      <c r="T46" s="8" t="inlineStr">
        <is>
          <t>Fast (1-2 wks)</t>
        </is>
      </c>
      <c r="U46" s="16" t="inlineStr">
        <is>
          <t>Ready for Send</t>
        </is>
      </c>
      <c r="V46" s="16" t="inlineStr">
        <is>
          <t>Sample_FOA_Proposal_Blueprint.pdf</t>
        </is>
      </c>
      <c r="W46" s="16" t="inlineStr">
        <is>
          <t>Form_Energy_Capital_Intelligence_Dossier.pdf</t>
        </is>
      </c>
      <c r="X46" s="16" t="inlineStr">
        <is>
          <t>Energy_Innovation_Terminal_by_AIxEnergy_Capabilities_Brief.pdf</t>
        </is>
      </c>
    </row>
    <row r="47" ht="22" customHeight="1">
      <c r="A47" s="12" t="n">
        <v>46</v>
      </c>
      <c r="B47" s="18" t="inlineStr">
        <is>
          <t>CleanCapital</t>
        </is>
      </c>
      <c r="C47" s="18" t="inlineStr">
        <is>
          <t>Clean Tech &amp; Energy Advisory</t>
        </is>
      </c>
      <c r="D47" s="18" t="inlineStr">
        <is>
          <t>Jon Powers</t>
        </is>
      </c>
      <c r="E47" s="18" t="inlineStr">
        <is>
          <t>Co-Founder &amp; President</t>
        </is>
      </c>
      <c r="F47" s="18" t="inlineStr">
        <is>
          <t>jpowers@cleancapital.com</t>
        </is>
      </c>
      <c r="G47" s="18" t="inlineStr">
        <is>
          <t>(212) 933-9115</t>
        </is>
      </c>
      <c r="H47" s="18" t="inlineStr">
        <is>
          <t>https://linkedin.com/in/jonpowers</t>
        </is>
      </c>
      <c r="I47" s="18" t="inlineStr">
        <is>
          <t>https://energyadvisory.com</t>
        </is>
      </c>
      <c r="J47" s="18" t="inlineStr">
        <is>
          <t>New York, NY</t>
        </is>
      </c>
      <c r="K47" s="18" t="inlineStr">
        <is>
          <t>20-100</t>
        </is>
      </c>
      <c r="L47" s="18" t="inlineStr">
        <is>
          <t>DOE, NYSERDA, CEC, NSF</t>
        </is>
      </c>
      <c r="M47" s="18" t="inlineStr">
        <is>
          <t>Clean Tech Startups, Utilities, Research Consortia</t>
        </is>
      </c>
      <c r="N47" s="18" t="inlineStr">
        <is>
          <t>Manual FOA decomposition and multi-database research consuming 20+ hours per proposal</t>
        </is>
      </c>
      <c r="O47" s="18" t="inlineStr">
        <is>
          <t>10-second FOA shredder, 4-part PDF blueprints, and 5-stage capital continuum ledgers</t>
        </is>
      </c>
      <c r="P47" s="18" t="inlineStr">
        <is>
          <t>$1,500 / seat / mo (Flat Rate)</t>
        </is>
      </c>
      <c r="Q47" s="12" t="n">
        <v>5</v>
      </c>
      <c r="R47" s="19">
        <f>Q47*1500</f>
        <v/>
      </c>
      <c r="S47" s="19">
        <f>R47*12</f>
        <v/>
      </c>
      <c r="T47" s="12" t="inlineStr">
        <is>
          <t>Fast (1-2 wks)</t>
        </is>
      </c>
      <c r="U47" s="18" t="inlineStr">
        <is>
          <t>Ready for Send</t>
        </is>
      </c>
      <c r="V47" s="18" t="inlineStr">
        <is>
          <t>Sample_FOA_Proposal_Blueprint.pdf</t>
        </is>
      </c>
      <c r="W47" s="18" t="inlineStr">
        <is>
          <t>Form_Energy_Capital_Intelligence_Dossier.pdf</t>
        </is>
      </c>
      <c r="X47" s="18" t="inlineStr">
        <is>
          <t>Energy_Innovation_Terminal_by_AIxEnergy_Capabilities_Brief.pdf</t>
        </is>
      </c>
    </row>
    <row r="48" ht="22" customHeight="1">
      <c r="A48" s="8" t="n">
        <v>47</v>
      </c>
      <c r="B48" s="16" t="inlineStr">
        <is>
          <t>Energy Capital Partners</t>
        </is>
      </c>
      <c r="C48" s="16" t="inlineStr">
        <is>
          <t>Clean Tech &amp; Energy Advisory</t>
        </is>
      </c>
      <c r="D48" s="16" t="inlineStr">
        <is>
          <t>Thomas King</t>
        </is>
      </c>
      <c r="E48" s="16" t="inlineStr">
        <is>
          <t>Managing Director</t>
        </is>
      </c>
      <c r="F48" s="16" t="inlineStr">
        <is>
          <t>tking@ecpartners.com</t>
        </is>
      </c>
      <c r="G48" s="16" t="inlineStr">
        <is>
          <t>(973) 671-6100</t>
        </is>
      </c>
      <c r="H48" s="16" t="inlineStr">
        <is>
          <t>https://linkedin.com/in/thomasking</t>
        </is>
      </c>
      <c r="I48" s="16" t="inlineStr">
        <is>
          <t>https://energyadvisory.com</t>
        </is>
      </c>
      <c r="J48" s="16" t="inlineStr">
        <is>
          <t>Summit, NJ</t>
        </is>
      </c>
      <c r="K48" s="16" t="inlineStr">
        <is>
          <t>20-100</t>
        </is>
      </c>
      <c r="L48" s="16" t="inlineStr">
        <is>
          <t>DOE, NYSERDA, CEC, NSF</t>
        </is>
      </c>
      <c r="M48" s="16" t="inlineStr">
        <is>
          <t>Clean Tech Startups, Utilities, Research Consortia</t>
        </is>
      </c>
      <c r="N48" s="16" t="inlineStr">
        <is>
          <t>Manual FOA decomposition and multi-database research consuming 20+ hours per proposal</t>
        </is>
      </c>
      <c r="O48" s="16" t="inlineStr">
        <is>
          <t>10-second FOA shredder, 4-part PDF blueprints, and 5-stage capital continuum ledgers</t>
        </is>
      </c>
      <c r="P48" s="16" t="inlineStr">
        <is>
          <t>$1,500 / seat / mo (Flat Rate)</t>
        </is>
      </c>
      <c r="Q48" s="8" t="n">
        <v>5</v>
      </c>
      <c r="R48" s="17">
        <f>Q48*1500</f>
        <v/>
      </c>
      <c r="S48" s="17">
        <f>R48*12</f>
        <v/>
      </c>
      <c r="T48" s="8" t="inlineStr">
        <is>
          <t>Fast (1-2 wks)</t>
        </is>
      </c>
      <c r="U48" s="16" t="inlineStr">
        <is>
          <t>Ready for Send</t>
        </is>
      </c>
      <c r="V48" s="16" t="inlineStr">
        <is>
          <t>Sample_FOA_Proposal_Blueprint.pdf</t>
        </is>
      </c>
      <c r="W48" s="16" t="inlineStr">
        <is>
          <t>Form_Energy_Capital_Intelligence_Dossier.pdf</t>
        </is>
      </c>
      <c r="X48" s="16" t="inlineStr">
        <is>
          <t>Energy_Innovation_Terminal_by_AIxEnergy_Capabilities_Brief.pdf</t>
        </is>
      </c>
    </row>
    <row r="49" ht="22" customHeight="1">
      <c r="A49" s="12" t="n">
        <v>48</v>
      </c>
      <c r="B49" s="18" t="inlineStr">
        <is>
          <t>Clean Energy Ventures</t>
        </is>
      </c>
      <c r="C49" s="18" t="inlineStr">
        <is>
          <t>Clean Tech &amp; Energy Advisory</t>
        </is>
      </c>
      <c r="D49" s="18" t="inlineStr">
        <is>
          <t>Dan Goldman</t>
        </is>
      </c>
      <c r="E49" s="18" t="inlineStr">
        <is>
          <t>Managing Partner</t>
        </is>
      </c>
      <c r="F49" s="18" t="inlineStr">
        <is>
          <t>dgoldman@cleanenergyventures.com</t>
        </is>
      </c>
      <c r="G49" s="18" t="inlineStr">
        <is>
          <t>(617) 830-1000</t>
        </is>
      </c>
      <c r="H49" s="18" t="inlineStr">
        <is>
          <t>https://linkedin.com/in/dangoldman</t>
        </is>
      </c>
      <c r="I49" s="18" t="inlineStr">
        <is>
          <t>https://energyadvisory.com</t>
        </is>
      </c>
      <c r="J49" s="18" t="inlineStr">
        <is>
          <t>Boston, MA</t>
        </is>
      </c>
      <c r="K49" s="18" t="inlineStr">
        <is>
          <t>20-100</t>
        </is>
      </c>
      <c r="L49" s="18" t="inlineStr">
        <is>
          <t>DOE, NYSERDA, CEC, NSF</t>
        </is>
      </c>
      <c r="M49" s="18" t="inlineStr">
        <is>
          <t>Clean Tech Startups, Utilities, Research Consortia</t>
        </is>
      </c>
      <c r="N49" s="18" t="inlineStr">
        <is>
          <t>Manual FOA decomposition and multi-database research consuming 20+ hours per proposal</t>
        </is>
      </c>
      <c r="O49" s="18" t="inlineStr">
        <is>
          <t>10-second FOA shredder, 4-part PDF blueprints, and 5-stage capital continuum ledgers</t>
        </is>
      </c>
      <c r="P49" s="18" t="inlineStr">
        <is>
          <t>$1,500 / seat / mo (Flat Rate)</t>
        </is>
      </c>
      <c r="Q49" s="12" t="n">
        <v>5</v>
      </c>
      <c r="R49" s="19">
        <f>Q49*1500</f>
        <v/>
      </c>
      <c r="S49" s="19">
        <f>R49*12</f>
        <v/>
      </c>
      <c r="T49" s="12" t="inlineStr">
        <is>
          <t>Fast (1-2 wks)</t>
        </is>
      </c>
      <c r="U49" s="18" t="inlineStr">
        <is>
          <t>Ready for Send</t>
        </is>
      </c>
      <c r="V49" s="18" t="inlineStr">
        <is>
          <t>Sample_FOA_Proposal_Blueprint.pdf</t>
        </is>
      </c>
      <c r="W49" s="18" t="inlineStr">
        <is>
          <t>Form_Energy_Capital_Intelligence_Dossier.pdf</t>
        </is>
      </c>
      <c r="X49" s="18" t="inlineStr">
        <is>
          <t>Energy_Innovation_Terminal_by_AIxEnergy_Capabilities_Brief.pdf</t>
        </is>
      </c>
    </row>
    <row r="50" ht="22" customHeight="1">
      <c r="A50" s="8" t="n">
        <v>49</v>
      </c>
      <c r="B50" s="16" t="inlineStr">
        <is>
          <t>Clean Energy Ventures</t>
        </is>
      </c>
      <c r="C50" s="16" t="inlineStr">
        <is>
          <t>Clean Tech &amp; Energy Advisory</t>
        </is>
      </c>
      <c r="D50" s="16" t="inlineStr">
        <is>
          <t>Temple Fennell</t>
        </is>
      </c>
      <c r="E50" s="16" t="inlineStr">
        <is>
          <t>Managing Partner</t>
        </is>
      </c>
      <c r="F50" s="16" t="inlineStr">
        <is>
          <t>tfennell@cleanenergyventures.com</t>
        </is>
      </c>
      <c r="G50" s="16" t="inlineStr">
        <is>
          <t>(617) 830-1000</t>
        </is>
      </c>
      <c r="H50" s="16" t="inlineStr">
        <is>
          <t>https://linkedin.com/in/templefennell</t>
        </is>
      </c>
      <c r="I50" s="16" t="inlineStr">
        <is>
          <t>https://energyadvisory.com</t>
        </is>
      </c>
      <c r="J50" s="16" t="inlineStr">
        <is>
          <t>Boston, MA</t>
        </is>
      </c>
      <c r="K50" s="16" t="inlineStr">
        <is>
          <t>20-100</t>
        </is>
      </c>
      <c r="L50" s="16" t="inlineStr">
        <is>
          <t>DOE, NYSERDA, CEC, NSF</t>
        </is>
      </c>
      <c r="M50" s="16" t="inlineStr">
        <is>
          <t>Clean Tech Startups, Utilities, Research Consortia</t>
        </is>
      </c>
      <c r="N50" s="16" t="inlineStr">
        <is>
          <t>Manual FOA decomposition and multi-database research consuming 20+ hours per proposal</t>
        </is>
      </c>
      <c r="O50" s="16" t="inlineStr">
        <is>
          <t>10-second FOA shredder, 4-part PDF blueprints, and 5-stage capital continuum ledgers</t>
        </is>
      </c>
      <c r="P50" s="16" t="inlineStr">
        <is>
          <t>$1,500 / seat / mo (Flat Rate)</t>
        </is>
      </c>
      <c r="Q50" s="8" t="n">
        <v>5</v>
      </c>
      <c r="R50" s="17">
        <f>Q50*1500</f>
        <v/>
      </c>
      <c r="S50" s="17">
        <f>R50*12</f>
        <v/>
      </c>
      <c r="T50" s="8" t="inlineStr">
        <is>
          <t>Fast (1-2 wks)</t>
        </is>
      </c>
      <c r="U50" s="16" t="inlineStr">
        <is>
          <t>Ready for Send</t>
        </is>
      </c>
      <c r="V50" s="16" t="inlineStr">
        <is>
          <t>Sample_FOA_Proposal_Blueprint.pdf</t>
        </is>
      </c>
      <c r="W50" s="16" t="inlineStr">
        <is>
          <t>Form_Energy_Capital_Intelligence_Dossier.pdf</t>
        </is>
      </c>
      <c r="X50" s="16" t="inlineStr">
        <is>
          <t>Energy_Innovation_Terminal_by_AIxEnergy_Capabilities_Brief.pdf</t>
        </is>
      </c>
    </row>
    <row r="51" ht="22" customHeight="1">
      <c r="A51" s="12" t="n">
        <v>50</v>
      </c>
      <c r="B51" s="18" t="inlineStr">
        <is>
          <t>Prime Impact Fund / Azolla Ventures</t>
        </is>
      </c>
      <c r="C51" s="18" t="inlineStr">
        <is>
          <t>Clean Tech &amp; Energy Advisory</t>
        </is>
      </c>
      <c r="D51" s="18" t="inlineStr">
        <is>
          <t>Amy Duffuor</t>
        </is>
      </c>
      <c r="E51" s="18" t="inlineStr">
        <is>
          <t>General Partner</t>
        </is>
      </c>
      <c r="F51" s="18" t="inlineStr">
        <is>
          <t>amy@azollaventures.com</t>
        </is>
      </c>
      <c r="G51" s="18" t="inlineStr">
        <is>
          <t>(617) 500-4710</t>
        </is>
      </c>
      <c r="H51" s="18" t="inlineStr">
        <is>
          <t>https://linkedin.com/in/amyduffuor</t>
        </is>
      </c>
      <c r="I51" s="18" t="inlineStr">
        <is>
          <t>https://energyadvisory.com</t>
        </is>
      </c>
      <c r="J51" s="18" t="inlineStr">
        <is>
          <t>Cambridge, MA</t>
        </is>
      </c>
      <c r="K51" s="18" t="inlineStr">
        <is>
          <t>20-100</t>
        </is>
      </c>
      <c r="L51" s="18" t="inlineStr">
        <is>
          <t>DOE, NYSERDA, CEC, NSF</t>
        </is>
      </c>
      <c r="M51" s="18" t="inlineStr">
        <is>
          <t>Clean Tech Startups, Utilities, Research Consortia</t>
        </is>
      </c>
      <c r="N51" s="18" t="inlineStr">
        <is>
          <t>Manual FOA decomposition and multi-database research consuming 20+ hours per proposal</t>
        </is>
      </c>
      <c r="O51" s="18" t="inlineStr">
        <is>
          <t>10-second FOA shredder, 4-part PDF blueprints, and 5-stage capital continuum ledgers</t>
        </is>
      </c>
      <c r="P51" s="18" t="inlineStr">
        <is>
          <t>$1,500 / seat / mo (Flat Rate)</t>
        </is>
      </c>
      <c r="Q51" s="12" t="n">
        <v>5</v>
      </c>
      <c r="R51" s="19">
        <f>Q51*1500</f>
        <v/>
      </c>
      <c r="S51" s="19">
        <f>R51*12</f>
        <v/>
      </c>
      <c r="T51" s="12" t="inlineStr">
        <is>
          <t>Fast (1-2 wks)</t>
        </is>
      </c>
      <c r="U51" s="18" t="inlineStr">
        <is>
          <t>Ready for Send</t>
        </is>
      </c>
      <c r="V51" s="18" t="inlineStr">
        <is>
          <t>Sample_FOA_Proposal_Blueprint.pdf</t>
        </is>
      </c>
      <c r="W51" s="18" t="inlineStr">
        <is>
          <t>Form_Energy_Capital_Intelligence_Dossier.pdf</t>
        </is>
      </c>
      <c r="X51" s="18" t="inlineStr">
        <is>
          <t>Energy_Innovation_Terminal_by_AIxEnergy_Capabilities_Brief.pdf</t>
        </is>
      </c>
    </row>
    <row r="52" ht="22" customHeight="1">
      <c r="A52" s="8" t="n">
        <v>51</v>
      </c>
      <c r="B52" s="16" t="inlineStr">
        <is>
          <t>Greentown Labs</t>
        </is>
      </c>
      <c r="C52" s="16" t="inlineStr">
        <is>
          <t>Clean Tech &amp; Energy Advisory</t>
        </is>
      </c>
      <c r="D52" s="16" t="inlineStr">
        <is>
          <t>Colin Angevine</t>
        </is>
      </c>
      <c r="E52" s="16" t="inlineStr">
        <is>
          <t>Director, Non-Dilutive Capital</t>
        </is>
      </c>
      <c r="F52" s="16" t="inlineStr">
        <is>
          <t>cangevine@greentownlabs.com</t>
        </is>
      </c>
      <c r="G52" s="16" t="inlineStr">
        <is>
          <t>(617) 440-9700</t>
        </is>
      </c>
      <c r="H52" s="16" t="inlineStr">
        <is>
          <t>https://linkedin.com/in/colinangevine</t>
        </is>
      </c>
      <c r="I52" s="16" t="inlineStr">
        <is>
          <t>https://energyadvisory.com</t>
        </is>
      </c>
      <c r="J52" s="16" t="inlineStr">
        <is>
          <t>Somerville, MA</t>
        </is>
      </c>
      <c r="K52" s="16" t="inlineStr">
        <is>
          <t>20-100</t>
        </is>
      </c>
      <c r="L52" s="16" t="inlineStr">
        <is>
          <t>DOE, NYSERDA, CEC, NSF</t>
        </is>
      </c>
      <c r="M52" s="16" t="inlineStr">
        <is>
          <t>Clean Tech Startups, Utilities, Research Consortia</t>
        </is>
      </c>
      <c r="N52" s="16" t="inlineStr">
        <is>
          <t>Manual FOA decomposition and multi-database research consuming 20+ hours per proposal</t>
        </is>
      </c>
      <c r="O52" s="16" t="inlineStr">
        <is>
          <t>10-second FOA shredder, 4-part PDF blueprints, and 5-stage capital continuum ledgers</t>
        </is>
      </c>
      <c r="P52" s="16" t="inlineStr">
        <is>
          <t>$1,500 / seat / mo (Flat Rate)</t>
        </is>
      </c>
      <c r="Q52" s="8" t="n">
        <v>5</v>
      </c>
      <c r="R52" s="17">
        <f>Q52*1500</f>
        <v/>
      </c>
      <c r="S52" s="17">
        <f>R52*12</f>
        <v/>
      </c>
      <c r="T52" s="8" t="inlineStr">
        <is>
          <t>Fast (1-2 wks)</t>
        </is>
      </c>
      <c r="U52" s="16" t="inlineStr">
        <is>
          <t>Ready for Send</t>
        </is>
      </c>
      <c r="V52" s="16" t="inlineStr">
        <is>
          <t>Sample_FOA_Proposal_Blueprint.pdf</t>
        </is>
      </c>
      <c r="W52" s="16" t="inlineStr">
        <is>
          <t>Form_Energy_Capital_Intelligence_Dossier.pdf</t>
        </is>
      </c>
      <c r="X52" s="16" t="inlineStr">
        <is>
          <t>Energy_Innovation_Terminal_by_AIxEnergy_Capabilities_Brief.pdf</t>
        </is>
      </c>
    </row>
    <row r="53" ht="22" customHeight="1">
      <c r="A53" s="12" t="n">
        <v>52</v>
      </c>
      <c r="B53" s="18" t="inlineStr">
        <is>
          <t>Greentown Labs</t>
        </is>
      </c>
      <c r="C53" s="18" t="inlineStr">
        <is>
          <t>Clean Tech &amp; Energy Advisory</t>
        </is>
      </c>
      <c r="D53" s="18" t="inlineStr">
        <is>
          <t>Jason Hanna</t>
        </is>
      </c>
      <c r="E53" s="18" t="inlineStr">
        <is>
          <t>Entrepreneur in Residence, Grants</t>
        </is>
      </c>
      <c r="F53" s="18" t="inlineStr">
        <is>
          <t>jhanna@greentownlabs.com</t>
        </is>
      </c>
      <c r="G53" s="18" t="inlineStr">
        <is>
          <t>(617) 440-9700</t>
        </is>
      </c>
      <c r="H53" s="18" t="inlineStr">
        <is>
          <t>https://linkedin.com/in/jasonhanna</t>
        </is>
      </c>
      <c r="I53" s="18" t="inlineStr">
        <is>
          <t>https://energyadvisory.com</t>
        </is>
      </c>
      <c r="J53" s="18" t="inlineStr">
        <is>
          <t>Somerville, MA</t>
        </is>
      </c>
      <c r="K53" s="18" t="inlineStr">
        <is>
          <t>20-100</t>
        </is>
      </c>
      <c r="L53" s="18" t="inlineStr">
        <is>
          <t>DOE, NYSERDA, CEC, NSF</t>
        </is>
      </c>
      <c r="M53" s="18" t="inlineStr">
        <is>
          <t>Clean Tech Startups, Utilities, Research Consortia</t>
        </is>
      </c>
      <c r="N53" s="18" t="inlineStr">
        <is>
          <t>Manual FOA decomposition and multi-database research consuming 20+ hours per proposal</t>
        </is>
      </c>
      <c r="O53" s="18" t="inlineStr">
        <is>
          <t>10-second FOA shredder, 4-part PDF blueprints, and 5-stage capital continuum ledgers</t>
        </is>
      </c>
      <c r="P53" s="18" t="inlineStr">
        <is>
          <t>$1,500 / seat / mo (Flat Rate)</t>
        </is>
      </c>
      <c r="Q53" s="12" t="n">
        <v>5</v>
      </c>
      <c r="R53" s="19">
        <f>Q53*1500</f>
        <v/>
      </c>
      <c r="S53" s="19">
        <f>R53*12</f>
        <v/>
      </c>
      <c r="T53" s="12" t="inlineStr">
        <is>
          <t>Fast (1-2 wks)</t>
        </is>
      </c>
      <c r="U53" s="18" t="inlineStr">
        <is>
          <t>Ready for Send</t>
        </is>
      </c>
      <c r="V53" s="18" t="inlineStr">
        <is>
          <t>Sample_FOA_Proposal_Blueprint.pdf</t>
        </is>
      </c>
      <c r="W53" s="18" t="inlineStr">
        <is>
          <t>Form_Energy_Capital_Intelligence_Dossier.pdf</t>
        </is>
      </c>
      <c r="X53" s="18" t="inlineStr">
        <is>
          <t>Energy_Innovation_Terminal_by_AIxEnergy_Capabilities_Brief.pdf</t>
        </is>
      </c>
    </row>
    <row r="54" ht="22" customHeight="1">
      <c r="A54" s="8" t="n">
        <v>53</v>
      </c>
      <c r="B54" s="16" t="inlineStr">
        <is>
          <t>Momentum</t>
        </is>
      </c>
      <c r="C54" s="16" t="inlineStr">
        <is>
          <t>Dedicated Clean Tech Grant Writing &amp; Project Deployment</t>
        </is>
      </c>
      <c r="D54" s="16" t="inlineStr">
        <is>
          <t>Kevin D'Agostino</t>
        </is>
      </c>
      <c r="E54" s="16" t="inlineStr">
        <is>
          <t>Head of Government Funding Practice</t>
        </is>
      </c>
      <c r="F54" s="16" t="inlineStr">
        <is>
          <t>kevin@momentum.com</t>
        </is>
      </c>
      <c r="G54" s="16" t="inlineStr">
        <is>
          <t>(916) 459-4053</t>
        </is>
      </c>
      <c r="H54" s="16" t="inlineStr">
        <is>
          <t>https://linkedin.com/in/kevind'agostino</t>
        </is>
      </c>
      <c r="I54" s="16" t="inlineStr">
        <is>
          <t>https://buildmomentum.io</t>
        </is>
      </c>
      <c r="J54" s="16" t="inlineStr">
        <is>
          <t>Sacramento, CA</t>
        </is>
      </c>
      <c r="K54" s="16" t="inlineStr">
        <is>
          <t>40-80</t>
        </is>
      </c>
      <c r="L54" s="16" t="inlineStr">
        <is>
          <t>CEC EPIC, CARB, DOE (OCED, EERE), BAAQMD, Port Authorities</t>
        </is>
      </c>
      <c r="M54" s="16" t="inlineStr">
        <is>
          <t>Zero-Emission Heavy Duty, EV Fleet Charging, Clean Ports, Microgrids</t>
        </is>
      </c>
      <c r="N54" s="16" t="inlineStr">
        <is>
          <t>Writing dozens of complex multi-partner CEC and DOE grant applications every quarter under tight filing deadlines</t>
        </is>
      </c>
      <c r="O54" s="16" t="inlineStr">
        <is>
          <t>FOA shredding in 10 seconds, automated submission volume checklists, and historical winner benchmarking</t>
        </is>
      </c>
      <c r="P54" s="16" t="inlineStr">
        <is>
          <t>$1,500 / seat / mo (Flat Rate)</t>
        </is>
      </c>
      <c r="Q54" s="8" t="n">
        <v>5</v>
      </c>
      <c r="R54" s="17">
        <f>Q54*1500</f>
        <v/>
      </c>
      <c r="S54" s="17">
        <f>R54*12</f>
        <v/>
      </c>
      <c r="T54" s="8" t="inlineStr">
        <is>
          <t>Fast (1-2 wks)</t>
        </is>
      </c>
      <c r="U54" s="16" t="inlineStr">
        <is>
          <t>Ready for Send</t>
        </is>
      </c>
      <c r="V54" s="16" t="inlineStr">
        <is>
          <t>Sample_FOA_Proposal_Blueprint.pdf</t>
        </is>
      </c>
      <c r="W54" s="16" t="inlineStr">
        <is>
          <t>Form_Energy_Capital_Intelligence_Dossier.pdf</t>
        </is>
      </c>
      <c r="X54" s="16" t="inlineStr">
        <is>
          <t>Energy_Innovation_Terminal_by_AIxEnergy_Capabilities_Brief.pdf</t>
        </is>
      </c>
    </row>
    <row r="55" ht="22" customHeight="1">
      <c r="A55" s="12" t="n">
        <v>54</v>
      </c>
      <c r="B55" s="18" t="inlineStr">
        <is>
          <t>Momentum</t>
        </is>
      </c>
      <c r="C55" s="18" t="inlineStr">
        <is>
          <t>Dedicated Clean Tech Grant Writing &amp; Project Deployment</t>
        </is>
      </c>
      <c r="D55" s="18" t="inlineStr">
        <is>
          <t>Matt Bowers</t>
        </is>
      </c>
      <c r="E55" s="18" t="inlineStr">
        <is>
          <t>Managing Director</t>
        </is>
      </c>
      <c r="F55" s="18" t="inlineStr">
        <is>
          <t>matt@momentum.com</t>
        </is>
      </c>
      <c r="G55" s="18" t="inlineStr">
        <is>
          <t>(916) 459-4053</t>
        </is>
      </c>
      <c r="H55" s="18" t="inlineStr">
        <is>
          <t>https://linkedin.com/in/mattbowers</t>
        </is>
      </c>
      <c r="I55" s="18" t="inlineStr">
        <is>
          <t>https://buildmomentum.io</t>
        </is>
      </c>
      <c r="J55" s="18" t="inlineStr">
        <is>
          <t>Sacramento, CA</t>
        </is>
      </c>
      <c r="K55" s="18" t="inlineStr">
        <is>
          <t>40-80</t>
        </is>
      </c>
      <c r="L55" s="18" t="inlineStr">
        <is>
          <t>CEC EPIC, CARB, DOE (OCED, EERE), BAAQMD, Port Authorities</t>
        </is>
      </c>
      <c r="M55" s="18" t="inlineStr">
        <is>
          <t>Zero-Emission Heavy Duty, EV Fleet Charging, Clean Ports, Microgrids</t>
        </is>
      </c>
      <c r="N55" s="18" t="inlineStr">
        <is>
          <t>Writing dozens of complex multi-partner CEC and DOE grant applications every quarter under tight filing deadlines</t>
        </is>
      </c>
      <c r="O55" s="18" t="inlineStr">
        <is>
          <t>FOA shredding in 10 seconds, automated submission volume checklists, and historical winner benchmarking</t>
        </is>
      </c>
      <c r="P55" s="18" t="inlineStr">
        <is>
          <t>$1,500 / seat / mo (Flat Rate)</t>
        </is>
      </c>
      <c r="Q55" s="12" t="n">
        <v>5</v>
      </c>
      <c r="R55" s="19">
        <f>Q55*1500</f>
        <v/>
      </c>
      <c r="S55" s="19">
        <f>R55*12</f>
        <v/>
      </c>
      <c r="T55" s="12" t="inlineStr">
        <is>
          <t>Fast (1-2 wks)</t>
        </is>
      </c>
      <c r="U55" s="18" t="inlineStr">
        <is>
          <t>Ready for Send</t>
        </is>
      </c>
      <c r="V55" s="18" t="inlineStr">
        <is>
          <t>Sample_FOA_Proposal_Blueprint.pdf</t>
        </is>
      </c>
      <c r="W55" s="18" t="inlineStr">
        <is>
          <t>Form_Energy_Capital_Intelligence_Dossier.pdf</t>
        </is>
      </c>
      <c r="X55" s="18" t="inlineStr">
        <is>
          <t>Energy_Innovation_Terminal_by_AIxEnergy_Capabilities_Brief.pdf</t>
        </is>
      </c>
    </row>
    <row r="56" ht="22" customHeight="1">
      <c r="A56" s="8" t="n">
        <v>55</v>
      </c>
      <c r="B56" s="16" t="inlineStr">
        <is>
          <t>Momentum</t>
        </is>
      </c>
      <c r="C56" s="16" t="inlineStr">
        <is>
          <t>Dedicated Clean Tech Grant Writing &amp; Project Deployment</t>
        </is>
      </c>
      <c r="D56" s="16" t="inlineStr">
        <is>
          <t>Jonathan Liles</t>
        </is>
      </c>
      <c r="E56" s="16" t="inlineStr">
        <is>
          <t>Senior Director, Proposal Strategy</t>
        </is>
      </c>
      <c r="F56" s="16" t="inlineStr">
        <is>
          <t>jliles@momentum.com</t>
        </is>
      </c>
      <c r="G56" s="16" t="inlineStr">
        <is>
          <t>(916) 459-4053</t>
        </is>
      </c>
      <c r="H56" s="16" t="inlineStr">
        <is>
          <t>https://linkedin.com/in/jonathanliles</t>
        </is>
      </c>
      <c r="I56" s="16" t="inlineStr">
        <is>
          <t>https://buildmomentum.io</t>
        </is>
      </c>
      <c r="J56" s="16" t="inlineStr">
        <is>
          <t>Sacramento, CA</t>
        </is>
      </c>
      <c r="K56" s="16" t="inlineStr">
        <is>
          <t>40-80</t>
        </is>
      </c>
      <c r="L56" s="16" t="inlineStr">
        <is>
          <t>CEC EPIC, CARB, DOE (OCED, EERE), BAAQMD, Port Authorities</t>
        </is>
      </c>
      <c r="M56" s="16" t="inlineStr">
        <is>
          <t>Zero-Emission Heavy Duty, EV Fleet Charging, Clean Ports, Microgrids</t>
        </is>
      </c>
      <c r="N56" s="16" t="inlineStr">
        <is>
          <t>Writing dozens of complex multi-partner CEC and DOE grant applications every quarter under tight filing deadlines</t>
        </is>
      </c>
      <c r="O56" s="16" t="inlineStr">
        <is>
          <t>FOA shredding in 10 seconds, automated submission volume checklists, and historical winner benchmarking</t>
        </is>
      </c>
      <c r="P56" s="16" t="inlineStr">
        <is>
          <t>$1,500 / seat / mo (Flat Rate)</t>
        </is>
      </c>
      <c r="Q56" s="8" t="n">
        <v>5</v>
      </c>
      <c r="R56" s="17">
        <f>Q56*1500</f>
        <v/>
      </c>
      <c r="S56" s="17">
        <f>R56*12</f>
        <v/>
      </c>
      <c r="T56" s="8" t="inlineStr">
        <is>
          <t>Fast (1-2 wks)</t>
        </is>
      </c>
      <c r="U56" s="16" t="inlineStr">
        <is>
          <t>Ready for Send</t>
        </is>
      </c>
      <c r="V56" s="16" t="inlineStr">
        <is>
          <t>Sample_FOA_Proposal_Blueprint.pdf</t>
        </is>
      </c>
      <c r="W56" s="16" t="inlineStr">
        <is>
          <t>Form_Energy_Capital_Intelligence_Dossier.pdf</t>
        </is>
      </c>
      <c r="X56" s="16" t="inlineStr">
        <is>
          <t>Energy_Innovation_Terminal_by_AIxEnergy_Capabilities_Brief.pdf</t>
        </is>
      </c>
    </row>
    <row r="57" ht="22" customHeight="1">
      <c r="A57" s="12" t="n">
        <v>56</v>
      </c>
      <c r="B57" s="18" t="inlineStr">
        <is>
          <t>Eagle Point Funding</t>
        </is>
      </c>
      <c r="C57" s="18" t="inlineStr">
        <is>
          <t>Deep Tech &amp; Non-Dilutive Funding Consultancy</t>
        </is>
      </c>
      <c r="D57" s="18" t="inlineStr">
        <is>
          <t>Eliad Shmuel</t>
        </is>
      </c>
      <c r="E57" s="18" t="inlineStr">
        <is>
          <t>VP Client Operations</t>
        </is>
      </c>
      <c r="F57" s="18" t="inlineStr">
        <is>
          <t>eliad@eaglepointfunding.com</t>
        </is>
      </c>
      <c r="G57" s="18" t="inlineStr">
        <is>
          <t>(646) 787-8260</t>
        </is>
      </c>
      <c r="H57" s="18" t="inlineStr">
        <is>
          <t>https://linkedin.com/in/eliadshmuel</t>
        </is>
      </c>
      <c r="I57" s="18" t="inlineStr">
        <is>
          <t>https://eaglepointfunding.com</t>
        </is>
      </c>
      <c r="J57" s="18" t="inlineStr">
        <is>
          <t>New York, NY</t>
        </is>
      </c>
      <c r="K57" s="18" t="inlineStr">
        <is>
          <t>50-100</t>
        </is>
      </c>
      <c r="L57" s="18" t="inlineStr">
        <is>
          <t>DOD (DARPA, AFWERX), DOE (ARPA-E, EERE), NSF, NASA, NIH</t>
        </is>
      </c>
      <c r="M57" s="18" t="inlineStr">
        <is>
          <t>Seed to Series B Hardware, Energy Storage, Advanced Materials, AI/Grid</t>
        </is>
      </c>
      <c r="N57" s="18" t="inlineStr">
        <is>
          <t>High proposal throughput with fast turnarounds required across diverse federal agencies</t>
        </is>
      </c>
      <c r="O57" s="18" t="inlineStr">
        <is>
          <t>Instant FOA parsing, agency scoring rubrics, and automated fatal flaw checks</t>
        </is>
      </c>
      <c r="P57" s="18" t="inlineStr">
        <is>
          <t>$1,500 / seat / mo (Flat Rate)</t>
        </is>
      </c>
      <c r="Q57" s="12" t="n">
        <v>5</v>
      </c>
      <c r="R57" s="19">
        <f>Q57*1500</f>
        <v/>
      </c>
      <c r="S57" s="19">
        <f>R57*12</f>
        <v/>
      </c>
      <c r="T57" s="12" t="inlineStr">
        <is>
          <t>Fast (1-2 wks)</t>
        </is>
      </c>
      <c r="U57" s="18" t="inlineStr">
        <is>
          <t>Ready for Send</t>
        </is>
      </c>
      <c r="V57" s="18" t="inlineStr">
        <is>
          <t>Sample_FOA_Proposal_Blueprint.pdf</t>
        </is>
      </c>
      <c r="W57" s="18" t="inlineStr">
        <is>
          <t>Form_Energy_Capital_Intelligence_Dossier.pdf</t>
        </is>
      </c>
      <c r="X57" s="18" t="inlineStr">
        <is>
          <t>Energy_Innovation_Terminal_by_AIxEnergy_Capabilities_Brief.pdf</t>
        </is>
      </c>
    </row>
    <row r="58" ht="22" customHeight="1">
      <c r="A58" s="8" t="n">
        <v>57</v>
      </c>
      <c r="B58" s="16" t="inlineStr">
        <is>
          <t>Eagle Point Funding</t>
        </is>
      </c>
      <c r="C58" s="16" t="inlineStr">
        <is>
          <t>Deep Tech &amp; Non-Dilutive Funding Consultancy</t>
        </is>
      </c>
      <c r="D58" s="16" t="inlineStr">
        <is>
          <t>Lior Zaidner</t>
        </is>
      </c>
      <c r="E58" s="16" t="inlineStr">
        <is>
          <t>Director of Business Development</t>
        </is>
      </c>
      <c r="F58" s="16" t="inlineStr">
        <is>
          <t>lior@eaglepointfunding.com</t>
        </is>
      </c>
      <c r="G58" s="16" t="inlineStr">
        <is>
          <t>(646) 787-8260</t>
        </is>
      </c>
      <c r="H58" s="16" t="inlineStr">
        <is>
          <t>https://linkedin.com/in/liorzaidner</t>
        </is>
      </c>
      <c r="I58" s="16" t="inlineStr">
        <is>
          <t>https://eaglepointfunding.com</t>
        </is>
      </c>
      <c r="J58" s="16" t="inlineStr">
        <is>
          <t>New York, NY</t>
        </is>
      </c>
      <c r="K58" s="16" t="inlineStr">
        <is>
          <t>50-100</t>
        </is>
      </c>
      <c r="L58" s="16" t="inlineStr">
        <is>
          <t>DOD (DARPA, AFWERX), DOE (ARPA-E, EERE), NSF, NASA, NIH</t>
        </is>
      </c>
      <c r="M58" s="16" t="inlineStr">
        <is>
          <t>Seed to Series B Hardware, Energy Storage, Advanced Materials, AI/Grid</t>
        </is>
      </c>
      <c r="N58" s="16" t="inlineStr">
        <is>
          <t>High proposal throughput with fast turnarounds required across diverse federal agencies</t>
        </is>
      </c>
      <c r="O58" s="16" t="inlineStr">
        <is>
          <t>Instant FOA parsing, agency scoring rubrics, and automated fatal flaw checks</t>
        </is>
      </c>
      <c r="P58" s="16" t="inlineStr">
        <is>
          <t>$1,500 / seat / mo (Flat Rate)</t>
        </is>
      </c>
      <c r="Q58" s="8" t="n">
        <v>5</v>
      </c>
      <c r="R58" s="17">
        <f>Q58*1500</f>
        <v/>
      </c>
      <c r="S58" s="17">
        <f>R58*12</f>
        <v/>
      </c>
      <c r="T58" s="8" t="inlineStr">
        <is>
          <t>Fast (1-2 wks)</t>
        </is>
      </c>
      <c r="U58" s="16" t="inlineStr">
        <is>
          <t>Ready for Send</t>
        </is>
      </c>
      <c r="V58" s="16" t="inlineStr">
        <is>
          <t>Sample_FOA_Proposal_Blueprint.pdf</t>
        </is>
      </c>
      <c r="W58" s="16" t="inlineStr">
        <is>
          <t>Form_Energy_Capital_Intelligence_Dossier.pdf</t>
        </is>
      </c>
      <c r="X58" s="16" t="inlineStr">
        <is>
          <t>Energy_Innovation_Terminal_by_AIxEnergy_Capabilities_Brief.pdf</t>
        </is>
      </c>
    </row>
    <row r="59" ht="22" customHeight="1">
      <c r="A59" s="12" t="n">
        <v>58</v>
      </c>
      <c r="B59" s="18" t="inlineStr">
        <is>
          <t>Eagle Point Funding</t>
        </is>
      </c>
      <c r="C59" s="18" t="inlineStr">
        <is>
          <t>Deep Tech &amp; Non-Dilutive Funding Consultancy</t>
        </is>
      </c>
      <c r="D59" s="18" t="inlineStr">
        <is>
          <t>Michael Kogan</t>
        </is>
      </c>
      <c r="E59" s="18" t="inlineStr">
        <is>
          <t>Managing Partner</t>
        </is>
      </c>
      <c r="F59" s="18" t="inlineStr">
        <is>
          <t>michael@eaglepointfunding.com</t>
        </is>
      </c>
      <c r="G59" s="18" t="inlineStr">
        <is>
          <t>(646) 787-8260</t>
        </is>
      </c>
      <c r="H59" s="18" t="inlineStr">
        <is>
          <t>https://linkedin.com/in/michaelkogan</t>
        </is>
      </c>
      <c r="I59" s="18" t="inlineStr">
        <is>
          <t>https://eaglepointfunding.com</t>
        </is>
      </c>
      <c r="J59" s="18" t="inlineStr">
        <is>
          <t>New York, NY</t>
        </is>
      </c>
      <c r="K59" s="18" t="inlineStr">
        <is>
          <t>50-100</t>
        </is>
      </c>
      <c r="L59" s="18" t="inlineStr">
        <is>
          <t>DOD (DARPA, AFWERX), DOE (ARPA-E, EERE), NSF, NASA, NIH</t>
        </is>
      </c>
      <c r="M59" s="18" t="inlineStr">
        <is>
          <t>Seed to Series B Hardware, Energy Storage, Advanced Materials, AI/Grid</t>
        </is>
      </c>
      <c r="N59" s="18" t="inlineStr">
        <is>
          <t>High proposal throughput with fast turnarounds required across diverse federal agencies</t>
        </is>
      </c>
      <c r="O59" s="18" t="inlineStr">
        <is>
          <t>Instant FOA parsing, agency scoring rubrics, and automated fatal flaw checks</t>
        </is>
      </c>
      <c r="P59" s="18" t="inlineStr">
        <is>
          <t>$1,500 / seat / mo (Flat Rate)</t>
        </is>
      </c>
      <c r="Q59" s="12" t="n">
        <v>5</v>
      </c>
      <c r="R59" s="19">
        <f>Q59*1500</f>
        <v/>
      </c>
      <c r="S59" s="19">
        <f>R59*12</f>
        <v/>
      </c>
      <c r="T59" s="12" t="inlineStr">
        <is>
          <t>Fast (1-2 wks)</t>
        </is>
      </c>
      <c r="U59" s="18" t="inlineStr">
        <is>
          <t>Ready for Send</t>
        </is>
      </c>
      <c r="V59" s="18" t="inlineStr">
        <is>
          <t>Sample_FOA_Proposal_Blueprint.pdf</t>
        </is>
      </c>
      <c r="W59" s="18" t="inlineStr">
        <is>
          <t>Form_Energy_Capital_Intelligence_Dossier.pdf</t>
        </is>
      </c>
      <c r="X59" s="18" t="inlineStr">
        <is>
          <t>Energy_Innovation_Terminal_by_AIxEnergy_Capabilities_Brief.pdf</t>
        </is>
      </c>
    </row>
    <row r="60" ht="22" customHeight="1">
      <c r="A60" s="8" t="n">
        <v>59</v>
      </c>
      <c r="B60" s="16" t="inlineStr">
        <is>
          <t>BBC Entrepreneurial Training &amp; Consulting (BBCetc)</t>
        </is>
      </c>
      <c r="C60" s="16" t="inlineStr">
        <is>
          <t>Clean Tech &amp; Energy Advisory</t>
        </is>
      </c>
      <c r="D60" s="16" t="inlineStr">
        <is>
          <t>Andrea Johanson</t>
        </is>
      </c>
      <c r="E60" s="16" t="inlineStr">
        <is>
          <t>Senior Principal Consultant</t>
        </is>
      </c>
      <c r="F60" s="16" t="inlineStr">
        <is>
          <t>andrea@bbcetc.com</t>
        </is>
      </c>
      <c r="G60" s="16" t="inlineStr">
        <is>
          <t>(734) 930-4800</t>
        </is>
      </c>
      <c r="H60" s="16" t="inlineStr">
        <is>
          <t>https://linkedin.com/in/andreajohanson</t>
        </is>
      </c>
      <c r="I60" s="16" t="inlineStr">
        <is>
          <t>https://energyadvisory.com</t>
        </is>
      </c>
      <c r="J60" s="16" t="inlineStr">
        <is>
          <t>Ann Arbor, MI</t>
        </is>
      </c>
      <c r="K60" s="16" t="inlineStr">
        <is>
          <t>20-100</t>
        </is>
      </c>
      <c r="L60" s="16" t="inlineStr">
        <is>
          <t>DOE, NYSERDA, CEC, NSF</t>
        </is>
      </c>
      <c r="M60" s="16" t="inlineStr">
        <is>
          <t>Clean Tech Startups, Utilities, Research Consortia</t>
        </is>
      </c>
      <c r="N60" s="16" t="inlineStr">
        <is>
          <t>Manual FOA decomposition and multi-database research consuming 20+ hours per proposal</t>
        </is>
      </c>
      <c r="O60" s="16" t="inlineStr">
        <is>
          <t>10-second FOA shredder, 4-part PDF blueprints, and 5-stage capital continuum ledgers</t>
        </is>
      </c>
      <c r="P60" s="16" t="inlineStr">
        <is>
          <t>$1,500 / seat / mo (Flat Rate)</t>
        </is>
      </c>
      <c r="Q60" s="8" t="n">
        <v>5</v>
      </c>
      <c r="R60" s="17">
        <f>Q60*1500</f>
        <v/>
      </c>
      <c r="S60" s="17">
        <f>R60*12</f>
        <v/>
      </c>
      <c r="T60" s="8" t="inlineStr">
        <is>
          <t>Fast (1-2 wks)</t>
        </is>
      </c>
      <c r="U60" s="16" t="inlineStr">
        <is>
          <t>Ready for Send</t>
        </is>
      </c>
      <c r="V60" s="16" t="inlineStr">
        <is>
          <t>Sample_FOA_Proposal_Blueprint.pdf</t>
        </is>
      </c>
      <c r="W60" s="16" t="inlineStr">
        <is>
          <t>Form_Energy_Capital_Intelligence_Dossier.pdf</t>
        </is>
      </c>
      <c r="X60" s="16" t="inlineStr">
        <is>
          <t>Energy_Innovation_Terminal_by_AIxEnergy_Capabilities_Brief.pdf</t>
        </is>
      </c>
    </row>
    <row r="61" ht="22" customHeight="1">
      <c r="A61" s="12" t="n">
        <v>60</v>
      </c>
      <c r="B61" s="18" t="inlineStr">
        <is>
          <t>BBCetc</t>
        </is>
      </c>
      <c r="C61" s="18" t="inlineStr">
        <is>
          <t>Clean Tech &amp; Energy Advisory</t>
        </is>
      </c>
      <c r="D61" s="18" t="inlineStr">
        <is>
          <t>Shannon Bass</t>
        </is>
      </c>
      <c r="E61" s="18" t="inlineStr">
        <is>
          <t>Senior Principal Consultant</t>
        </is>
      </c>
      <c r="F61" s="18" t="inlineStr">
        <is>
          <t>shannon@bbcetc.com</t>
        </is>
      </c>
      <c r="G61" s="18" t="inlineStr">
        <is>
          <t>(734) 930-4800</t>
        </is>
      </c>
      <c r="H61" s="18" t="inlineStr">
        <is>
          <t>https://linkedin.com/in/shannonbass</t>
        </is>
      </c>
      <c r="I61" s="18" t="inlineStr">
        <is>
          <t>https://energyadvisory.com</t>
        </is>
      </c>
      <c r="J61" s="18" t="inlineStr">
        <is>
          <t>Ann Arbor, MI</t>
        </is>
      </c>
      <c r="K61" s="18" t="inlineStr">
        <is>
          <t>20-100</t>
        </is>
      </c>
      <c r="L61" s="18" t="inlineStr">
        <is>
          <t>DOE, NYSERDA, CEC, NSF</t>
        </is>
      </c>
      <c r="M61" s="18" t="inlineStr">
        <is>
          <t>Clean Tech Startups, Utilities, Research Consortia</t>
        </is>
      </c>
      <c r="N61" s="18" t="inlineStr">
        <is>
          <t>Manual FOA decomposition and multi-database research consuming 20+ hours per proposal</t>
        </is>
      </c>
      <c r="O61" s="18" t="inlineStr">
        <is>
          <t>10-second FOA shredder, 4-part PDF blueprints, and 5-stage capital continuum ledgers</t>
        </is>
      </c>
      <c r="P61" s="18" t="inlineStr">
        <is>
          <t>$1,500 / seat / mo (Flat Rate)</t>
        </is>
      </c>
      <c r="Q61" s="12" t="n">
        <v>5</v>
      </c>
      <c r="R61" s="19">
        <f>Q61*1500</f>
        <v/>
      </c>
      <c r="S61" s="19">
        <f>R61*12</f>
        <v/>
      </c>
      <c r="T61" s="12" t="inlineStr">
        <is>
          <t>Fast (1-2 wks)</t>
        </is>
      </c>
      <c r="U61" s="18" t="inlineStr">
        <is>
          <t>Ready for Send</t>
        </is>
      </c>
      <c r="V61" s="18" t="inlineStr">
        <is>
          <t>Sample_FOA_Proposal_Blueprint.pdf</t>
        </is>
      </c>
      <c r="W61" s="18" t="inlineStr">
        <is>
          <t>Form_Energy_Capital_Intelligence_Dossier.pdf</t>
        </is>
      </c>
      <c r="X61" s="18" t="inlineStr">
        <is>
          <t>Energy_Innovation_Terminal_by_AIxEnergy_Capabilities_Brief.pdf</t>
        </is>
      </c>
    </row>
    <row r="62" ht="22" customHeight="1">
      <c r="A62" s="8" t="n">
        <v>61</v>
      </c>
      <c r="B62" s="16" t="inlineStr">
        <is>
          <t>BBCetc</t>
        </is>
      </c>
      <c r="C62" s="16" t="inlineStr">
        <is>
          <t>Clean Tech &amp; Energy Advisory</t>
        </is>
      </c>
      <c r="D62" s="16" t="inlineStr">
        <is>
          <t>Kris Bergman</t>
        </is>
      </c>
      <c r="E62" s="16" t="inlineStr">
        <is>
          <t>Managing Consultant</t>
        </is>
      </c>
      <c r="F62" s="16" t="inlineStr">
        <is>
          <t>kris@bbcetc.com</t>
        </is>
      </c>
      <c r="G62" s="16" t="inlineStr">
        <is>
          <t>(734) 930-4800</t>
        </is>
      </c>
      <c r="H62" s="16" t="inlineStr">
        <is>
          <t>https://linkedin.com/in/krisbergman</t>
        </is>
      </c>
      <c r="I62" s="16" t="inlineStr">
        <is>
          <t>https://energyadvisory.com</t>
        </is>
      </c>
      <c r="J62" s="16" t="inlineStr">
        <is>
          <t>Ann Arbor, MI</t>
        </is>
      </c>
      <c r="K62" s="16" t="inlineStr">
        <is>
          <t>20-100</t>
        </is>
      </c>
      <c r="L62" s="16" t="inlineStr">
        <is>
          <t>DOE, NYSERDA, CEC, NSF</t>
        </is>
      </c>
      <c r="M62" s="16" t="inlineStr">
        <is>
          <t>Clean Tech Startups, Utilities, Research Consortia</t>
        </is>
      </c>
      <c r="N62" s="16" t="inlineStr">
        <is>
          <t>Manual FOA decomposition and multi-database research consuming 20+ hours per proposal</t>
        </is>
      </c>
      <c r="O62" s="16" t="inlineStr">
        <is>
          <t>10-second FOA shredder, 4-part PDF blueprints, and 5-stage capital continuum ledgers</t>
        </is>
      </c>
      <c r="P62" s="16" t="inlineStr">
        <is>
          <t>$1,500 / seat / mo (Flat Rate)</t>
        </is>
      </c>
      <c r="Q62" s="8" t="n">
        <v>5</v>
      </c>
      <c r="R62" s="17">
        <f>Q62*1500</f>
        <v/>
      </c>
      <c r="S62" s="17">
        <f>R62*12</f>
        <v/>
      </c>
      <c r="T62" s="8" t="inlineStr">
        <is>
          <t>Fast (1-2 wks)</t>
        </is>
      </c>
      <c r="U62" s="16" t="inlineStr">
        <is>
          <t>Ready for Send</t>
        </is>
      </c>
      <c r="V62" s="16" t="inlineStr">
        <is>
          <t>Sample_FOA_Proposal_Blueprint.pdf</t>
        </is>
      </c>
      <c r="W62" s="16" t="inlineStr">
        <is>
          <t>Form_Energy_Capital_Intelligence_Dossier.pdf</t>
        </is>
      </c>
      <c r="X62" s="16" t="inlineStr">
        <is>
          <t>Energy_Innovation_Terminal_by_AIxEnergy_Capabilities_Brief.pdf</t>
        </is>
      </c>
    </row>
    <row r="63" ht="22" customHeight="1">
      <c r="A63" s="12" t="n">
        <v>62</v>
      </c>
      <c r="B63" s="18" t="inlineStr">
        <is>
          <t>G2G Consulting</t>
        </is>
      </c>
      <c r="C63" s="18" t="inlineStr">
        <is>
          <t>Clean Tech &amp; Energy Advisory</t>
        </is>
      </c>
      <c r="D63" s="18" t="inlineStr">
        <is>
          <t>Liz Powell</t>
        </is>
      </c>
      <c r="E63" s="18" t="inlineStr">
        <is>
          <t>Founder &amp; President</t>
        </is>
      </c>
      <c r="F63" s="18" t="inlineStr">
        <is>
          <t>lpowell@g2gconsulting.com</t>
        </is>
      </c>
      <c r="G63" s="18" t="inlineStr">
        <is>
          <t>(202) 445-5655</t>
        </is>
      </c>
      <c r="H63" s="18" t="inlineStr">
        <is>
          <t>https://linkedin.com/in/lizpowell</t>
        </is>
      </c>
      <c r="I63" s="18" t="inlineStr">
        <is>
          <t>https://energyadvisory.com</t>
        </is>
      </c>
      <c r="J63" s="18" t="inlineStr">
        <is>
          <t>Washington, DC</t>
        </is>
      </c>
      <c r="K63" s="18" t="inlineStr">
        <is>
          <t>20-100</t>
        </is>
      </c>
      <c r="L63" s="18" t="inlineStr">
        <is>
          <t>DOE, NYSERDA, CEC, NSF</t>
        </is>
      </c>
      <c r="M63" s="18" t="inlineStr">
        <is>
          <t>Clean Tech Startups, Utilities, Research Consortia</t>
        </is>
      </c>
      <c r="N63" s="18" t="inlineStr">
        <is>
          <t>Manual FOA decomposition and multi-database research consuming 20+ hours per proposal</t>
        </is>
      </c>
      <c r="O63" s="18" t="inlineStr">
        <is>
          <t>10-second FOA shredder, 4-part PDF blueprints, and 5-stage capital continuum ledgers</t>
        </is>
      </c>
      <c r="P63" s="18" t="inlineStr">
        <is>
          <t>$1,500 / seat / mo (Flat Rate)</t>
        </is>
      </c>
      <c r="Q63" s="12" t="n">
        <v>5</v>
      </c>
      <c r="R63" s="19">
        <f>Q63*1500</f>
        <v/>
      </c>
      <c r="S63" s="19">
        <f>R63*12</f>
        <v/>
      </c>
      <c r="T63" s="12" t="inlineStr">
        <is>
          <t>Fast (1-2 wks)</t>
        </is>
      </c>
      <c r="U63" s="18" t="inlineStr">
        <is>
          <t>Ready for Send</t>
        </is>
      </c>
      <c r="V63" s="18" t="inlineStr">
        <is>
          <t>Sample_FOA_Proposal_Blueprint.pdf</t>
        </is>
      </c>
      <c r="W63" s="18" t="inlineStr">
        <is>
          <t>Form_Energy_Capital_Intelligence_Dossier.pdf</t>
        </is>
      </c>
      <c r="X63" s="18" t="inlineStr">
        <is>
          <t>Energy_Innovation_Terminal_by_AIxEnergy_Capabilities_Brief.pdf</t>
        </is>
      </c>
    </row>
    <row r="64" ht="22" customHeight="1">
      <c r="A64" s="8" t="n">
        <v>63</v>
      </c>
      <c r="B64" s="16" t="inlineStr">
        <is>
          <t>G2G Consulting</t>
        </is>
      </c>
      <c r="C64" s="16" t="inlineStr">
        <is>
          <t>Clean Tech &amp; Energy Advisory</t>
        </is>
      </c>
      <c r="D64" s="16" t="inlineStr">
        <is>
          <t>Greg Belshe</t>
        </is>
      </c>
      <c r="E64" s="16" t="inlineStr">
        <is>
          <t>Vice President, Funding Strategy</t>
        </is>
      </c>
      <c r="F64" s="16" t="inlineStr">
        <is>
          <t>gbelshe@g2gconsulting.com</t>
        </is>
      </c>
      <c r="G64" s="16" t="inlineStr">
        <is>
          <t>(202) 445-5655</t>
        </is>
      </c>
      <c r="H64" s="16" t="inlineStr">
        <is>
          <t>https://linkedin.com/in/gregbelshe</t>
        </is>
      </c>
      <c r="I64" s="16" t="inlineStr">
        <is>
          <t>https://energyadvisory.com</t>
        </is>
      </c>
      <c r="J64" s="16" t="inlineStr">
        <is>
          <t>Washington, DC</t>
        </is>
      </c>
      <c r="K64" s="16" t="inlineStr">
        <is>
          <t>20-100</t>
        </is>
      </c>
      <c r="L64" s="16" t="inlineStr">
        <is>
          <t>DOE, NYSERDA, CEC, NSF</t>
        </is>
      </c>
      <c r="M64" s="16" t="inlineStr">
        <is>
          <t>Clean Tech Startups, Utilities, Research Consortia</t>
        </is>
      </c>
      <c r="N64" s="16" t="inlineStr">
        <is>
          <t>Manual FOA decomposition and multi-database research consuming 20+ hours per proposal</t>
        </is>
      </c>
      <c r="O64" s="16" t="inlineStr">
        <is>
          <t>10-second FOA shredder, 4-part PDF blueprints, and 5-stage capital continuum ledgers</t>
        </is>
      </c>
      <c r="P64" s="16" t="inlineStr">
        <is>
          <t>$1,500 / seat / mo (Flat Rate)</t>
        </is>
      </c>
      <c r="Q64" s="8" t="n">
        <v>5</v>
      </c>
      <c r="R64" s="17">
        <f>Q64*1500</f>
        <v/>
      </c>
      <c r="S64" s="17">
        <f>R64*12</f>
        <v/>
      </c>
      <c r="T64" s="8" t="inlineStr">
        <is>
          <t>Fast (1-2 wks)</t>
        </is>
      </c>
      <c r="U64" s="16" t="inlineStr">
        <is>
          <t>Ready for Send</t>
        </is>
      </c>
      <c r="V64" s="16" t="inlineStr">
        <is>
          <t>Sample_FOA_Proposal_Blueprint.pdf</t>
        </is>
      </c>
      <c r="W64" s="16" t="inlineStr">
        <is>
          <t>Form_Energy_Capital_Intelligence_Dossier.pdf</t>
        </is>
      </c>
      <c r="X64" s="16" t="inlineStr">
        <is>
          <t>Energy_Innovation_Terminal_by_AIxEnergy_Capabilities_Brief.pdf</t>
        </is>
      </c>
    </row>
    <row r="65" ht="22" customHeight="1">
      <c r="A65" s="12" t="n">
        <v>64</v>
      </c>
      <c r="B65" s="18" t="inlineStr">
        <is>
          <t>Eva Garland Consulting LLC</t>
        </is>
      </c>
      <c r="C65" s="18" t="inlineStr">
        <is>
          <t>Clean Tech &amp; Energy Advisory</t>
        </is>
      </c>
      <c r="D65" s="18" t="inlineStr">
        <is>
          <t>Eva Garland</t>
        </is>
      </c>
      <c r="E65" s="18" t="inlineStr">
        <is>
          <t>CEO &amp; Founder</t>
        </is>
      </c>
      <c r="F65" s="18" t="inlineStr">
        <is>
          <t>eva@evagarland.com</t>
        </is>
      </c>
      <c r="G65" s="18" t="inlineStr">
        <is>
          <t>(919) 825-1440</t>
        </is>
      </c>
      <c r="H65" s="18" t="inlineStr">
        <is>
          <t>https://linkedin.com/in/evagarland</t>
        </is>
      </c>
      <c r="I65" s="18" t="inlineStr">
        <is>
          <t>https://energyadvisory.com</t>
        </is>
      </c>
      <c r="J65" s="18" t="inlineStr">
        <is>
          <t>Raleigh, NC</t>
        </is>
      </c>
      <c r="K65" s="18" t="inlineStr">
        <is>
          <t>20-100</t>
        </is>
      </c>
      <c r="L65" s="18" t="inlineStr">
        <is>
          <t>DOE, NYSERDA, CEC, NSF</t>
        </is>
      </c>
      <c r="M65" s="18" t="inlineStr">
        <is>
          <t>Clean Tech Startups, Utilities, Research Consortia</t>
        </is>
      </c>
      <c r="N65" s="18" t="inlineStr">
        <is>
          <t>Manual FOA decomposition and multi-database research consuming 20+ hours per proposal</t>
        </is>
      </c>
      <c r="O65" s="18" t="inlineStr">
        <is>
          <t>10-second FOA shredder, 4-part PDF blueprints, and 5-stage capital continuum ledgers</t>
        </is>
      </c>
      <c r="P65" s="18" t="inlineStr">
        <is>
          <t>$1,500 / seat / mo (Flat Rate)</t>
        </is>
      </c>
      <c r="Q65" s="12" t="n">
        <v>5</v>
      </c>
      <c r="R65" s="19">
        <f>Q65*1500</f>
        <v/>
      </c>
      <c r="S65" s="19">
        <f>R65*12</f>
        <v/>
      </c>
      <c r="T65" s="12" t="inlineStr">
        <is>
          <t>Fast (1-2 wks)</t>
        </is>
      </c>
      <c r="U65" s="18" t="inlineStr">
        <is>
          <t>Ready for Send</t>
        </is>
      </c>
      <c r="V65" s="18" t="inlineStr">
        <is>
          <t>Sample_FOA_Proposal_Blueprint.pdf</t>
        </is>
      </c>
      <c r="W65" s="18" t="inlineStr">
        <is>
          <t>Form_Energy_Capital_Intelligence_Dossier.pdf</t>
        </is>
      </c>
      <c r="X65" s="18" t="inlineStr">
        <is>
          <t>Energy_Innovation_Terminal_by_AIxEnergy_Capabilities_Brief.pdf</t>
        </is>
      </c>
    </row>
    <row r="66" ht="22" customHeight="1">
      <c r="A66" s="8" t="n">
        <v>65</v>
      </c>
      <c r="B66" s="16" t="inlineStr">
        <is>
          <t>Eva Garland Consulting LLC</t>
        </is>
      </c>
      <c r="C66" s="16" t="inlineStr">
        <is>
          <t>Clean Tech &amp; Energy Advisory</t>
        </is>
      </c>
      <c r="D66" s="16" t="inlineStr">
        <is>
          <t>Bryan Garland</t>
        </is>
      </c>
      <c r="E66" s="16" t="inlineStr">
        <is>
          <t>Chief Operating Officer</t>
        </is>
      </c>
      <c r="F66" s="16" t="inlineStr">
        <is>
          <t>bryan@evagarland.com</t>
        </is>
      </c>
      <c r="G66" s="16" t="inlineStr">
        <is>
          <t>(919) 825-1440</t>
        </is>
      </c>
      <c r="H66" s="16" t="inlineStr">
        <is>
          <t>https://linkedin.com/in/bryangarland</t>
        </is>
      </c>
      <c r="I66" s="16" t="inlineStr">
        <is>
          <t>https://energyadvisory.com</t>
        </is>
      </c>
      <c r="J66" s="16" t="inlineStr">
        <is>
          <t>Raleigh, NC</t>
        </is>
      </c>
      <c r="K66" s="16" t="inlineStr">
        <is>
          <t>20-100</t>
        </is>
      </c>
      <c r="L66" s="16" t="inlineStr">
        <is>
          <t>DOE, NYSERDA, CEC, NSF</t>
        </is>
      </c>
      <c r="M66" s="16" t="inlineStr">
        <is>
          <t>Clean Tech Startups, Utilities, Research Consortia</t>
        </is>
      </c>
      <c r="N66" s="16" t="inlineStr">
        <is>
          <t>Manual FOA decomposition and multi-database research consuming 20+ hours per proposal</t>
        </is>
      </c>
      <c r="O66" s="16" t="inlineStr">
        <is>
          <t>10-second FOA shredder, 4-part PDF blueprints, and 5-stage capital continuum ledgers</t>
        </is>
      </c>
      <c r="P66" s="16" t="inlineStr">
        <is>
          <t>$1,500 / seat / mo (Flat Rate)</t>
        </is>
      </c>
      <c r="Q66" s="8" t="n">
        <v>5</v>
      </c>
      <c r="R66" s="17">
        <f>Q66*1500</f>
        <v/>
      </c>
      <c r="S66" s="17">
        <f>R66*12</f>
        <v/>
      </c>
      <c r="T66" s="8" t="inlineStr">
        <is>
          <t>Fast (1-2 wks)</t>
        </is>
      </c>
      <c r="U66" s="16" t="inlineStr">
        <is>
          <t>Ready for Send</t>
        </is>
      </c>
      <c r="V66" s="16" t="inlineStr">
        <is>
          <t>Sample_FOA_Proposal_Blueprint.pdf</t>
        </is>
      </c>
      <c r="W66" s="16" t="inlineStr">
        <is>
          <t>Form_Energy_Capital_Intelligence_Dossier.pdf</t>
        </is>
      </c>
      <c r="X66" s="16" t="inlineStr">
        <is>
          <t>Energy_Innovation_Terminal_by_AIxEnergy_Capabilities_Brief.pdf</t>
        </is>
      </c>
    </row>
    <row r="67" ht="22" customHeight="1">
      <c r="A67" s="12" t="n">
        <v>66</v>
      </c>
      <c r="B67" s="18" t="inlineStr">
        <is>
          <t>Eva Garland Consulting LLC</t>
        </is>
      </c>
      <c r="C67" s="18" t="inlineStr">
        <is>
          <t>Clean Tech &amp; Energy Advisory</t>
        </is>
      </c>
      <c r="D67" s="18" t="inlineStr">
        <is>
          <t>Katy Rood</t>
        </is>
      </c>
      <c r="E67" s="18" t="inlineStr">
        <is>
          <t>Director of Grants Management</t>
        </is>
      </c>
      <c r="F67" s="18" t="inlineStr">
        <is>
          <t>krood@evagarland.com</t>
        </is>
      </c>
      <c r="G67" s="18" t="inlineStr">
        <is>
          <t>(919) 825-1440</t>
        </is>
      </c>
      <c r="H67" s="18" t="inlineStr">
        <is>
          <t>https://linkedin.com/in/katyrood</t>
        </is>
      </c>
      <c r="I67" s="18" t="inlineStr">
        <is>
          <t>https://energyadvisory.com</t>
        </is>
      </c>
      <c r="J67" s="18" t="inlineStr">
        <is>
          <t>Raleigh, NC</t>
        </is>
      </c>
      <c r="K67" s="18" t="inlineStr">
        <is>
          <t>20-100</t>
        </is>
      </c>
      <c r="L67" s="18" t="inlineStr">
        <is>
          <t>DOE, NYSERDA, CEC, NSF</t>
        </is>
      </c>
      <c r="M67" s="18" t="inlineStr">
        <is>
          <t>Clean Tech Startups, Utilities, Research Consortia</t>
        </is>
      </c>
      <c r="N67" s="18" t="inlineStr">
        <is>
          <t>Manual FOA decomposition and multi-database research consuming 20+ hours per proposal</t>
        </is>
      </c>
      <c r="O67" s="18" t="inlineStr">
        <is>
          <t>10-second FOA shredder, 4-part PDF blueprints, and 5-stage capital continuum ledgers</t>
        </is>
      </c>
      <c r="P67" s="18" t="inlineStr">
        <is>
          <t>$1,500 / seat / mo (Flat Rate)</t>
        </is>
      </c>
      <c r="Q67" s="12" t="n">
        <v>5</v>
      </c>
      <c r="R67" s="19">
        <f>Q67*1500</f>
        <v/>
      </c>
      <c r="S67" s="19">
        <f>R67*12</f>
        <v/>
      </c>
      <c r="T67" s="12" t="inlineStr">
        <is>
          <t>Fast (1-2 wks)</t>
        </is>
      </c>
      <c r="U67" s="18" t="inlineStr">
        <is>
          <t>Ready for Send</t>
        </is>
      </c>
      <c r="V67" s="18" t="inlineStr">
        <is>
          <t>Sample_FOA_Proposal_Blueprint.pdf</t>
        </is>
      </c>
      <c r="W67" s="18" t="inlineStr">
        <is>
          <t>Form_Energy_Capital_Intelligence_Dossier.pdf</t>
        </is>
      </c>
      <c r="X67" s="18" t="inlineStr">
        <is>
          <t>Energy_Innovation_Terminal_by_AIxEnergy_Capabilities_Brief.pdf</t>
        </is>
      </c>
    </row>
    <row r="68" ht="22" customHeight="1">
      <c r="A68" s="8" t="n">
        <v>67</v>
      </c>
      <c r="B68" s="16" t="inlineStr">
        <is>
          <t>Hanover Research</t>
        </is>
      </c>
      <c r="C68" s="16" t="inlineStr">
        <is>
          <t>Clean Tech &amp; Energy Advisory</t>
        </is>
      </c>
      <c r="D68" s="16" t="inlineStr">
        <is>
          <t>Dan Myers</t>
        </is>
      </c>
      <c r="E68" s="16" t="inlineStr">
        <is>
          <t>Managing Director, Energy Practice</t>
        </is>
      </c>
      <c r="F68" s="16" t="inlineStr">
        <is>
          <t>dmyers@hanoverresearch.com</t>
        </is>
      </c>
      <c r="G68" s="16" t="inlineStr">
        <is>
          <t>(202) 559-0050</t>
        </is>
      </c>
      <c r="H68" s="16" t="inlineStr">
        <is>
          <t>https://linkedin.com/in/danmyers</t>
        </is>
      </c>
      <c r="I68" s="16" t="inlineStr">
        <is>
          <t>https://energyadvisory.com</t>
        </is>
      </c>
      <c r="J68" s="16" t="inlineStr">
        <is>
          <t>Arlington, VA</t>
        </is>
      </c>
      <c r="K68" s="16" t="inlineStr">
        <is>
          <t>20-100</t>
        </is>
      </c>
      <c r="L68" s="16" t="inlineStr">
        <is>
          <t>DOE, NYSERDA, CEC, NSF</t>
        </is>
      </c>
      <c r="M68" s="16" t="inlineStr">
        <is>
          <t>Clean Tech Startups, Utilities, Research Consortia</t>
        </is>
      </c>
      <c r="N68" s="16" t="inlineStr">
        <is>
          <t>Manual FOA decomposition and multi-database research consuming 20+ hours per proposal</t>
        </is>
      </c>
      <c r="O68" s="16" t="inlineStr">
        <is>
          <t>10-second FOA shredder, 4-part PDF blueprints, and 5-stage capital continuum ledgers</t>
        </is>
      </c>
      <c r="P68" s="16" t="inlineStr">
        <is>
          <t>$1,500 / seat / mo (Flat Rate)</t>
        </is>
      </c>
      <c r="Q68" s="8" t="n">
        <v>5</v>
      </c>
      <c r="R68" s="17">
        <f>Q68*1500</f>
        <v/>
      </c>
      <c r="S68" s="17">
        <f>R68*12</f>
        <v/>
      </c>
      <c r="T68" s="8" t="inlineStr">
        <is>
          <t>Fast (1-2 wks)</t>
        </is>
      </c>
      <c r="U68" s="16" t="inlineStr">
        <is>
          <t>Ready for Send</t>
        </is>
      </c>
      <c r="V68" s="16" t="inlineStr">
        <is>
          <t>Sample_FOA_Proposal_Blueprint.pdf</t>
        </is>
      </c>
      <c r="W68" s="16" t="inlineStr">
        <is>
          <t>Form_Energy_Capital_Intelligence_Dossier.pdf</t>
        </is>
      </c>
      <c r="X68" s="16" t="inlineStr">
        <is>
          <t>Energy_Innovation_Terminal_by_AIxEnergy_Capabilities_Brief.pdf</t>
        </is>
      </c>
    </row>
    <row r="69" ht="22" customHeight="1">
      <c r="A69" s="12" t="n">
        <v>68</v>
      </c>
      <c r="B69" s="18" t="inlineStr">
        <is>
          <t>Hanover Research</t>
        </is>
      </c>
      <c r="C69" s="18" t="inlineStr">
        <is>
          <t>Clean Tech &amp; Energy Advisory</t>
        </is>
      </c>
      <c r="D69" s="18" t="inlineStr">
        <is>
          <t>Sarah Bendoraitis</t>
        </is>
      </c>
      <c r="E69" s="18" t="inlineStr">
        <is>
          <t>Senior Director, Proposal Support</t>
        </is>
      </c>
      <c r="F69" s="18" t="inlineStr">
        <is>
          <t>sbendoraitis@hanoverresearch.com</t>
        </is>
      </c>
      <c r="G69" s="18" t="inlineStr">
        <is>
          <t>(202) 559-0050</t>
        </is>
      </c>
      <c r="H69" s="18" t="inlineStr">
        <is>
          <t>https://linkedin.com/in/sarahbendoraitis</t>
        </is>
      </c>
      <c r="I69" s="18" t="inlineStr">
        <is>
          <t>https://energyadvisory.com</t>
        </is>
      </c>
      <c r="J69" s="18" t="inlineStr">
        <is>
          <t>Arlington, VA</t>
        </is>
      </c>
      <c r="K69" s="18" t="inlineStr">
        <is>
          <t>20-100</t>
        </is>
      </c>
      <c r="L69" s="18" t="inlineStr">
        <is>
          <t>DOE, NYSERDA, CEC, NSF</t>
        </is>
      </c>
      <c r="M69" s="18" t="inlineStr">
        <is>
          <t>Clean Tech Startups, Utilities, Research Consortia</t>
        </is>
      </c>
      <c r="N69" s="18" t="inlineStr">
        <is>
          <t>Manual FOA decomposition and multi-database research consuming 20+ hours per proposal</t>
        </is>
      </c>
      <c r="O69" s="18" t="inlineStr">
        <is>
          <t>10-second FOA shredder, 4-part PDF blueprints, and 5-stage capital continuum ledgers</t>
        </is>
      </c>
      <c r="P69" s="18" t="inlineStr">
        <is>
          <t>$1,500 / seat / mo (Flat Rate)</t>
        </is>
      </c>
      <c r="Q69" s="12" t="n">
        <v>5</v>
      </c>
      <c r="R69" s="19">
        <f>Q69*1500</f>
        <v/>
      </c>
      <c r="S69" s="19">
        <f>R69*12</f>
        <v/>
      </c>
      <c r="T69" s="12" t="inlineStr">
        <is>
          <t>Fast (1-2 wks)</t>
        </is>
      </c>
      <c r="U69" s="18" t="inlineStr">
        <is>
          <t>Ready for Send</t>
        </is>
      </c>
      <c r="V69" s="18" t="inlineStr">
        <is>
          <t>Sample_FOA_Proposal_Blueprint.pdf</t>
        </is>
      </c>
      <c r="W69" s="18" t="inlineStr">
        <is>
          <t>Form_Energy_Capital_Intelligence_Dossier.pdf</t>
        </is>
      </c>
      <c r="X69" s="18" t="inlineStr">
        <is>
          <t>Energy_Innovation_Terminal_by_AIxEnergy_Capabilities_Brief.pdf</t>
        </is>
      </c>
    </row>
    <row r="70" ht="22" customHeight="1">
      <c r="A70" s="8" t="n">
        <v>69</v>
      </c>
      <c r="B70" s="16" t="inlineStr">
        <is>
          <t>NAWI (National Alliance for Water Innovation)</t>
        </is>
      </c>
      <c r="C70" s="16" t="inlineStr">
        <is>
          <t>Clean Tech &amp; Energy Advisory</t>
        </is>
      </c>
      <c r="D70" s="16" t="inlineStr">
        <is>
          <t>Peter Fiske</t>
        </is>
      </c>
      <c r="E70" s="16" t="inlineStr">
        <is>
          <t>Executive Director</t>
        </is>
      </c>
      <c r="F70" s="16" t="inlineStr">
        <is>
          <t>pfiske@lbl.gov</t>
        </is>
      </c>
      <c r="G70" s="16" t="inlineStr">
        <is>
          <t>(510) 486-4000</t>
        </is>
      </c>
      <c r="H70" s="16" t="inlineStr">
        <is>
          <t>https://linkedin.com/in/peterfiske</t>
        </is>
      </c>
      <c r="I70" s="16" t="inlineStr">
        <is>
          <t>https://energyadvisory.com</t>
        </is>
      </c>
      <c r="J70" s="16" t="inlineStr">
        <is>
          <t>Berkeley, CA</t>
        </is>
      </c>
      <c r="K70" s="16" t="inlineStr">
        <is>
          <t>20-100</t>
        </is>
      </c>
      <c r="L70" s="16" t="inlineStr">
        <is>
          <t>DOE, NYSERDA, CEC, NSF</t>
        </is>
      </c>
      <c r="M70" s="16" t="inlineStr">
        <is>
          <t>Clean Tech Startups, Utilities, Research Consortia</t>
        </is>
      </c>
      <c r="N70" s="16" t="inlineStr">
        <is>
          <t>Manual FOA decomposition and multi-database research consuming 20+ hours per proposal</t>
        </is>
      </c>
      <c r="O70" s="16" t="inlineStr">
        <is>
          <t>10-second FOA shredder, 4-part PDF blueprints, and 5-stage capital continuum ledgers</t>
        </is>
      </c>
      <c r="P70" s="16" t="inlineStr">
        <is>
          <t>$1,500 / seat / mo (Flat Rate)</t>
        </is>
      </c>
      <c r="Q70" s="8" t="n">
        <v>5</v>
      </c>
      <c r="R70" s="17">
        <f>Q70*1500</f>
        <v/>
      </c>
      <c r="S70" s="17">
        <f>R70*12</f>
        <v/>
      </c>
      <c r="T70" s="8" t="inlineStr">
        <is>
          <t>Fast (1-2 wks)</t>
        </is>
      </c>
      <c r="U70" s="16" t="inlineStr">
        <is>
          <t>Ready for Send</t>
        </is>
      </c>
      <c r="V70" s="16" t="inlineStr">
        <is>
          <t>Sample_FOA_Proposal_Blueprint.pdf</t>
        </is>
      </c>
      <c r="W70" s="16" t="inlineStr">
        <is>
          <t>Form_Energy_Capital_Intelligence_Dossier.pdf</t>
        </is>
      </c>
      <c r="X70" s="16" t="inlineStr">
        <is>
          <t>Energy_Innovation_Terminal_by_AIxEnergy_Capabilities_Brief.pdf</t>
        </is>
      </c>
    </row>
    <row r="71" ht="22" customHeight="1">
      <c r="A71" s="12" t="n">
        <v>70</v>
      </c>
      <c r="B71" s="18" t="inlineStr">
        <is>
          <t>FreeMind Group</t>
        </is>
      </c>
      <c r="C71" s="18" t="inlineStr">
        <is>
          <t>Clean Tech &amp; Energy Advisory</t>
        </is>
      </c>
      <c r="D71" s="18" t="inlineStr">
        <is>
          <t>Dickon Hall</t>
        </is>
      </c>
      <c r="E71" s="18" t="inlineStr">
        <is>
          <t>Managing Partner</t>
        </is>
      </c>
      <c r="F71" s="18" t="inlineStr">
        <is>
          <t>dickon@freemindconsultants.com</t>
        </is>
      </c>
      <c r="G71" s="18" t="inlineStr">
        <is>
          <t>(617) 648-9340</t>
        </is>
      </c>
      <c r="H71" s="18" t="inlineStr">
        <is>
          <t>https://linkedin.com/in/dickonhall</t>
        </is>
      </c>
      <c r="I71" s="18" t="inlineStr">
        <is>
          <t>https://energyadvisory.com</t>
        </is>
      </c>
      <c r="J71" s="18" t="inlineStr">
        <is>
          <t>Boston, MA</t>
        </is>
      </c>
      <c r="K71" s="18" t="inlineStr">
        <is>
          <t>20-100</t>
        </is>
      </c>
      <c r="L71" s="18" t="inlineStr">
        <is>
          <t>DOE, NYSERDA, CEC, NSF</t>
        </is>
      </c>
      <c r="M71" s="18" t="inlineStr">
        <is>
          <t>Clean Tech Startups, Utilities, Research Consortia</t>
        </is>
      </c>
      <c r="N71" s="18" t="inlineStr">
        <is>
          <t>Manual FOA decomposition and multi-database research consuming 20+ hours per proposal</t>
        </is>
      </c>
      <c r="O71" s="18" t="inlineStr">
        <is>
          <t>10-second FOA shredder, 4-part PDF blueprints, and 5-stage capital continuum ledgers</t>
        </is>
      </c>
      <c r="P71" s="18" t="inlineStr">
        <is>
          <t>$1,500 / seat / mo (Flat Rate)</t>
        </is>
      </c>
      <c r="Q71" s="12" t="n">
        <v>5</v>
      </c>
      <c r="R71" s="19">
        <f>Q71*1500</f>
        <v/>
      </c>
      <c r="S71" s="19">
        <f>R71*12</f>
        <v/>
      </c>
      <c r="T71" s="12" t="inlineStr">
        <is>
          <t>Fast (1-2 wks)</t>
        </is>
      </c>
      <c r="U71" s="18" t="inlineStr">
        <is>
          <t>Ready for Send</t>
        </is>
      </c>
      <c r="V71" s="18" t="inlineStr">
        <is>
          <t>Sample_FOA_Proposal_Blueprint.pdf</t>
        </is>
      </c>
      <c r="W71" s="18" t="inlineStr">
        <is>
          <t>Form_Energy_Capital_Intelligence_Dossier.pdf</t>
        </is>
      </c>
      <c r="X71" s="18" t="inlineStr">
        <is>
          <t>Energy_Innovation_Terminal_by_AIxEnergy_Capabilities_Brief.pdf</t>
        </is>
      </c>
    </row>
    <row r="72" ht="22" customHeight="1">
      <c r="A72" s="8" t="n">
        <v>71</v>
      </c>
      <c r="B72" s="16" t="inlineStr">
        <is>
          <t>FreeMind Group</t>
        </is>
      </c>
      <c r="C72" s="16" t="inlineStr">
        <is>
          <t>Clean Tech &amp; Energy Advisory</t>
        </is>
      </c>
      <c r="D72" s="16" t="inlineStr">
        <is>
          <t>Joel Golan</t>
        </is>
      </c>
      <c r="E72" s="16" t="inlineStr">
        <is>
          <t>Director of Client Development</t>
        </is>
      </c>
      <c r="F72" s="16" t="inlineStr">
        <is>
          <t>joel@freemindconsultants.com</t>
        </is>
      </c>
      <c r="G72" s="16" t="inlineStr">
        <is>
          <t>(617) 648-9340</t>
        </is>
      </c>
      <c r="H72" s="16" t="inlineStr">
        <is>
          <t>https://linkedin.com/in/joelgolan</t>
        </is>
      </c>
      <c r="I72" s="16" t="inlineStr">
        <is>
          <t>https://energyadvisory.com</t>
        </is>
      </c>
      <c r="J72" s="16" t="inlineStr">
        <is>
          <t>Boston, MA</t>
        </is>
      </c>
      <c r="K72" s="16" t="inlineStr">
        <is>
          <t>20-100</t>
        </is>
      </c>
      <c r="L72" s="16" t="inlineStr">
        <is>
          <t>DOE, NYSERDA, CEC, NSF</t>
        </is>
      </c>
      <c r="M72" s="16" t="inlineStr">
        <is>
          <t>Clean Tech Startups, Utilities, Research Consortia</t>
        </is>
      </c>
      <c r="N72" s="16" t="inlineStr">
        <is>
          <t>Manual FOA decomposition and multi-database research consuming 20+ hours per proposal</t>
        </is>
      </c>
      <c r="O72" s="16" t="inlineStr">
        <is>
          <t>10-second FOA shredder, 4-part PDF blueprints, and 5-stage capital continuum ledgers</t>
        </is>
      </c>
      <c r="P72" s="16" t="inlineStr">
        <is>
          <t>$1,500 / seat / mo (Flat Rate)</t>
        </is>
      </c>
      <c r="Q72" s="8" t="n">
        <v>5</v>
      </c>
      <c r="R72" s="17">
        <f>Q72*1500</f>
        <v/>
      </c>
      <c r="S72" s="17">
        <f>R72*12</f>
        <v/>
      </c>
      <c r="T72" s="8" t="inlineStr">
        <is>
          <t>Fast (1-2 wks)</t>
        </is>
      </c>
      <c r="U72" s="16" t="inlineStr">
        <is>
          <t>Ready for Send</t>
        </is>
      </c>
      <c r="V72" s="16" t="inlineStr">
        <is>
          <t>Sample_FOA_Proposal_Blueprint.pdf</t>
        </is>
      </c>
      <c r="W72" s="16" t="inlineStr">
        <is>
          <t>Form_Energy_Capital_Intelligence_Dossier.pdf</t>
        </is>
      </c>
      <c r="X72" s="16" t="inlineStr">
        <is>
          <t>Energy_Innovation_Terminal_by_AIxEnergy_Capabilities_Brief.pdf</t>
        </is>
      </c>
    </row>
    <row r="73" ht="22" customHeight="1">
      <c r="A73" s="12" t="n">
        <v>72</v>
      </c>
      <c r="B73" s="18" t="inlineStr">
        <is>
          <t>TurboSBIR</t>
        </is>
      </c>
      <c r="C73" s="18" t="inlineStr">
        <is>
          <t>Clean Tech &amp; Energy Advisory</t>
        </is>
      </c>
      <c r="D73" s="18" t="inlineStr">
        <is>
          <t>Ben Rogers</t>
        </is>
      </c>
      <c r="E73" s="18" t="inlineStr">
        <is>
          <t>Partner</t>
        </is>
      </c>
      <c r="F73" s="18" t="inlineStr">
        <is>
          <t>ben@turbosbir.com</t>
        </is>
      </c>
      <c r="G73" s="18" t="inlineStr">
        <is>
          <t>(617) 383-7247</t>
        </is>
      </c>
      <c r="H73" s="18" t="inlineStr">
        <is>
          <t>https://linkedin.com/in/benrogers</t>
        </is>
      </c>
      <c r="I73" s="18" t="inlineStr">
        <is>
          <t>https://energyadvisory.com</t>
        </is>
      </c>
      <c r="J73" s="18" t="inlineStr">
        <is>
          <t>Boston, MA</t>
        </is>
      </c>
      <c r="K73" s="18" t="inlineStr">
        <is>
          <t>20-100</t>
        </is>
      </c>
      <c r="L73" s="18" t="inlineStr">
        <is>
          <t>DOE, NYSERDA, CEC, NSF</t>
        </is>
      </c>
      <c r="M73" s="18" t="inlineStr">
        <is>
          <t>Clean Tech Startups, Utilities, Research Consortia</t>
        </is>
      </c>
      <c r="N73" s="18" t="inlineStr">
        <is>
          <t>Manual FOA decomposition and multi-database research consuming 20+ hours per proposal</t>
        </is>
      </c>
      <c r="O73" s="18" t="inlineStr">
        <is>
          <t>10-second FOA shredder, 4-part PDF blueprints, and 5-stage capital continuum ledgers</t>
        </is>
      </c>
      <c r="P73" s="18" t="inlineStr">
        <is>
          <t>$1,500 / seat / mo (Flat Rate)</t>
        </is>
      </c>
      <c r="Q73" s="12" t="n">
        <v>5</v>
      </c>
      <c r="R73" s="19">
        <f>Q73*1500</f>
        <v/>
      </c>
      <c r="S73" s="19">
        <f>R73*12</f>
        <v/>
      </c>
      <c r="T73" s="12" t="inlineStr">
        <is>
          <t>Fast (1-2 wks)</t>
        </is>
      </c>
      <c r="U73" s="18" t="inlineStr">
        <is>
          <t>Ready for Send</t>
        </is>
      </c>
      <c r="V73" s="18" t="inlineStr">
        <is>
          <t>Sample_FOA_Proposal_Blueprint.pdf</t>
        </is>
      </c>
      <c r="W73" s="18" t="inlineStr">
        <is>
          <t>Form_Energy_Capital_Intelligence_Dossier.pdf</t>
        </is>
      </c>
      <c r="X73" s="18" t="inlineStr">
        <is>
          <t>Energy_Innovation_Terminal_by_AIxEnergy_Capabilities_Brief.pdf</t>
        </is>
      </c>
    </row>
    <row r="74" ht="22" customHeight="1">
      <c r="A74" s="8" t="n">
        <v>73</v>
      </c>
      <c r="B74" s="16" t="inlineStr">
        <is>
          <t>Activate Global</t>
        </is>
      </c>
      <c r="C74" s="16" t="inlineStr">
        <is>
          <t>Clean Tech &amp; Energy Advisory</t>
        </is>
      </c>
      <c r="D74" s="16" t="inlineStr">
        <is>
          <t>Emily Jones</t>
        </is>
      </c>
      <c r="E74" s="16" t="inlineStr">
        <is>
          <t>Director of Grant Programs</t>
        </is>
      </c>
      <c r="F74" s="16" t="inlineStr">
        <is>
          <t>ejones@activate.org</t>
        </is>
      </c>
      <c r="G74" s="16" t="inlineStr">
        <is>
          <t>(510) 844-4800</t>
        </is>
      </c>
      <c r="H74" s="16" t="inlineStr">
        <is>
          <t>https://linkedin.com/in/emilyjones</t>
        </is>
      </c>
      <c r="I74" s="16" t="inlineStr">
        <is>
          <t>https://energyadvisory.com</t>
        </is>
      </c>
      <c r="J74" s="16" t="inlineStr">
        <is>
          <t>Berkeley, CA</t>
        </is>
      </c>
      <c r="K74" s="16" t="inlineStr">
        <is>
          <t>20-100</t>
        </is>
      </c>
      <c r="L74" s="16" t="inlineStr">
        <is>
          <t>DOE, NYSERDA, CEC, NSF</t>
        </is>
      </c>
      <c r="M74" s="16" t="inlineStr">
        <is>
          <t>Clean Tech Startups, Utilities, Research Consortia</t>
        </is>
      </c>
      <c r="N74" s="16" t="inlineStr">
        <is>
          <t>Manual FOA decomposition and multi-database research consuming 20+ hours per proposal</t>
        </is>
      </c>
      <c r="O74" s="16" t="inlineStr">
        <is>
          <t>10-second FOA shredder, 4-part PDF blueprints, and 5-stage capital continuum ledgers</t>
        </is>
      </c>
      <c r="P74" s="16" t="inlineStr">
        <is>
          <t>$1,500 / seat / mo (Flat Rate)</t>
        </is>
      </c>
      <c r="Q74" s="8" t="n">
        <v>5</v>
      </c>
      <c r="R74" s="17">
        <f>Q74*1500</f>
        <v/>
      </c>
      <c r="S74" s="17">
        <f>R74*12</f>
        <v/>
      </c>
      <c r="T74" s="8" t="inlineStr">
        <is>
          <t>Fast (1-2 wks)</t>
        </is>
      </c>
      <c r="U74" s="16" t="inlineStr">
        <is>
          <t>Ready for Send</t>
        </is>
      </c>
      <c r="V74" s="16" t="inlineStr">
        <is>
          <t>Sample_FOA_Proposal_Blueprint.pdf</t>
        </is>
      </c>
      <c r="W74" s="16" t="inlineStr">
        <is>
          <t>Form_Energy_Capital_Intelligence_Dossier.pdf</t>
        </is>
      </c>
      <c r="X74" s="16" t="inlineStr">
        <is>
          <t>Energy_Innovation_Terminal_by_AIxEnergy_Capabilities_Brief.pdf</t>
        </is>
      </c>
    </row>
    <row r="75" ht="22" customHeight="1">
      <c r="A75" s="12" t="n">
        <v>74</v>
      </c>
      <c r="B75" s="18" t="inlineStr">
        <is>
          <t>Activate Global</t>
        </is>
      </c>
      <c r="C75" s="18" t="inlineStr">
        <is>
          <t>Clean Tech &amp; Energy Advisory</t>
        </is>
      </c>
      <c r="D75" s="18" t="inlineStr">
        <is>
          <t>Aakarsha Rai</t>
        </is>
      </c>
      <c r="E75" s="18" t="inlineStr">
        <is>
          <t>Portfolio Manager</t>
        </is>
      </c>
      <c r="F75" s="18" t="inlineStr">
        <is>
          <t>arai@activate.org</t>
        </is>
      </c>
      <c r="G75" s="18" t="inlineStr">
        <is>
          <t>(510) 844-4800</t>
        </is>
      </c>
      <c r="H75" s="18" t="inlineStr">
        <is>
          <t>https://linkedin.com/in/aakarsharai</t>
        </is>
      </c>
      <c r="I75" s="18" t="inlineStr">
        <is>
          <t>https://energyadvisory.com</t>
        </is>
      </c>
      <c r="J75" s="18" t="inlineStr">
        <is>
          <t>Boston, MA</t>
        </is>
      </c>
      <c r="K75" s="18" t="inlineStr">
        <is>
          <t>20-100</t>
        </is>
      </c>
      <c r="L75" s="18" t="inlineStr">
        <is>
          <t>DOE, NYSERDA, CEC, NSF</t>
        </is>
      </c>
      <c r="M75" s="18" t="inlineStr">
        <is>
          <t>Clean Tech Startups, Utilities, Research Consortia</t>
        </is>
      </c>
      <c r="N75" s="18" t="inlineStr">
        <is>
          <t>Manual FOA decomposition and multi-database research consuming 20+ hours per proposal</t>
        </is>
      </c>
      <c r="O75" s="18" t="inlineStr">
        <is>
          <t>10-second FOA shredder, 4-part PDF blueprints, and 5-stage capital continuum ledgers</t>
        </is>
      </c>
      <c r="P75" s="18" t="inlineStr">
        <is>
          <t>$1,500 / seat / mo (Flat Rate)</t>
        </is>
      </c>
      <c r="Q75" s="12" t="n">
        <v>5</v>
      </c>
      <c r="R75" s="19">
        <f>Q75*1500</f>
        <v/>
      </c>
      <c r="S75" s="19">
        <f>R75*12</f>
        <v/>
      </c>
      <c r="T75" s="12" t="inlineStr">
        <is>
          <t>Fast (1-2 wks)</t>
        </is>
      </c>
      <c r="U75" s="18" t="inlineStr">
        <is>
          <t>Ready for Send</t>
        </is>
      </c>
      <c r="V75" s="18" t="inlineStr">
        <is>
          <t>Sample_FOA_Proposal_Blueprint.pdf</t>
        </is>
      </c>
      <c r="W75" s="18" t="inlineStr">
        <is>
          <t>Form_Energy_Capital_Intelligence_Dossier.pdf</t>
        </is>
      </c>
      <c r="X75" s="18" t="inlineStr">
        <is>
          <t>Energy_Innovation_Terminal_by_AIxEnergy_Capabilities_Brief.pdf</t>
        </is>
      </c>
    </row>
    <row r="76" ht="22" customHeight="1">
      <c r="A76" s="8" t="n">
        <v>75</v>
      </c>
      <c r="B76" s="16" t="inlineStr">
        <is>
          <t>Los Angeles Cleantech Incubator (LACI)</t>
        </is>
      </c>
      <c r="C76" s="16" t="inlineStr">
        <is>
          <t>Clean Tech &amp; Energy Advisory</t>
        </is>
      </c>
      <c r="D76" s="16" t="inlineStr">
        <is>
          <t>Matt Peterson</t>
        </is>
      </c>
      <c r="E76" s="16" t="inlineStr">
        <is>
          <t>President &amp; CEO</t>
        </is>
      </c>
      <c r="F76" s="16" t="inlineStr">
        <is>
          <t>matt@laci.org</t>
        </is>
      </c>
      <c r="G76" s="16" t="inlineStr">
        <is>
          <t>(213) 358-6500</t>
        </is>
      </c>
      <c r="H76" s="16" t="inlineStr">
        <is>
          <t>https://linkedin.com/in/mattpeterson</t>
        </is>
      </c>
      <c r="I76" s="16" t="inlineStr">
        <is>
          <t>https://energyadvisory.com</t>
        </is>
      </c>
      <c r="J76" s="16" t="inlineStr">
        <is>
          <t>Los Angeles, CA</t>
        </is>
      </c>
      <c r="K76" s="16" t="inlineStr">
        <is>
          <t>20-100</t>
        </is>
      </c>
      <c r="L76" s="16" t="inlineStr">
        <is>
          <t>DOE, NYSERDA, CEC, NSF</t>
        </is>
      </c>
      <c r="M76" s="16" t="inlineStr">
        <is>
          <t>Clean Tech Startups, Utilities, Research Consortia</t>
        </is>
      </c>
      <c r="N76" s="16" t="inlineStr">
        <is>
          <t>Manual FOA decomposition and multi-database research consuming 20+ hours per proposal</t>
        </is>
      </c>
      <c r="O76" s="16" t="inlineStr">
        <is>
          <t>10-second FOA shredder, 4-part PDF blueprints, and 5-stage capital continuum ledgers</t>
        </is>
      </c>
      <c r="P76" s="16" t="inlineStr">
        <is>
          <t>$1,500 / seat / mo (Flat Rate)</t>
        </is>
      </c>
      <c r="Q76" s="8" t="n">
        <v>5</v>
      </c>
      <c r="R76" s="17">
        <f>Q76*1500</f>
        <v/>
      </c>
      <c r="S76" s="17">
        <f>R76*12</f>
        <v/>
      </c>
      <c r="T76" s="8" t="inlineStr">
        <is>
          <t>Fast (1-2 wks)</t>
        </is>
      </c>
      <c r="U76" s="16" t="inlineStr">
        <is>
          <t>Ready for Send</t>
        </is>
      </c>
      <c r="V76" s="16" t="inlineStr">
        <is>
          <t>Sample_FOA_Proposal_Blueprint.pdf</t>
        </is>
      </c>
      <c r="W76" s="16" t="inlineStr">
        <is>
          <t>Form_Energy_Capital_Intelligence_Dossier.pdf</t>
        </is>
      </c>
      <c r="X76" s="16" t="inlineStr">
        <is>
          <t>Energy_Innovation_Terminal_by_AIxEnergy_Capabilities_Brief.pdf</t>
        </is>
      </c>
    </row>
    <row r="77" ht="22" customHeight="1">
      <c r="A77" s="12" t="n">
        <v>76</v>
      </c>
      <c r="B77" s="18" t="inlineStr">
        <is>
          <t>Wilson Sonsini Goodrich &amp; Rosati</t>
        </is>
      </c>
      <c r="C77" s="18" t="inlineStr">
        <is>
          <t>Tier 1 Energy &amp; Clean Tech Legal Practice</t>
        </is>
      </c>
      <c r="D77" s="18" t="inlineStr">
        <is>
          <t>Peter Mostow</t>
        </is>
      </c>
      <c r="E77" s="18" t="inlineStr">
        <is>
          <t>Partner &amp; Co-Chair, Cleantech Practice</t>
        </is>
      </c>
      <c r="F77" s="18" t="inlineStr">
        <is>
          <t>pmostow@wsgr.com</t>
        </is>
      </c>
      <c r="G77" s="18" t="inlineStr">
        <is>
          <t>(206) 883-2500</t>
        </is>
      </c>
      <c r="H77" s="18" t="inlineStr">
        <is>
          <t>https://linkedin.com/in/petermostow</t>
        </is>
      </c>
      <c r="I77" s="18" t="inlineStr">
        <is>
          <t>https://wsgr.com</t>
        </is>
      </c>
      <c r="J77" s="18" t="inlineStr">
        <is>
          <t>Seattle / SF</t>
        </is>
      </c>
      <c r="K77" s="18" t="inlineStr">
        <is>
          <t>1,200+ (100+ Energy &amp; Climate)</t>
        </is>
      </c>
      <c r="L77" s="18" t="inlineStr">
        <is>
          <t>DOE LPO, DOE OCED, IRA Clean Energy Tax Credits (45V, 45Q, 48C), Treasury</t>
        </is>
      </c>
      <c r="M77" s="18" t="inlineStr">
        <is>
          <t>Premier Climate Tech Startups, Project Developers, Infrastructure VCs</t>
        </is>
      </c>
      <c r="N77" s="18" t="inlineStr">
        <is>
          <t>Performing legal and commercial diligence on grant covenants, cost-share agreements, and Bayh-Dole patent rights</t>
        </is>
      </c>
      <c r="O77" s="18" t="inlineStr">
        <is>
          <t>Recipient Capital Dossier showing federal grant-to-patent lineage and statutory compliance covenants</t>
        </is>
      </c>
      <c r="P77" s="18" t="inlineStr">
        <is>
          <t>$1,500 / seat / mo (Flat Rate)</t>
        </is>
      </c>
      <c r="Q77" s="12" t="n">
        <v>5</v>
      </c>
      <c r="R77" s="19">
        <f>Q77*1500</f>
        <v/>
      </c>
      <c r="S77" s="19">
        <f>R77*12</f>
        <v/>
      </c>
      <c r="T77" s="12" t="inlineStr">
        <is>
          <t>Fast (1-2 wks)</t>
        </is>
      </c>
      <c r="U77" s="18" t="inlineStr">
        <is>
          <t>Ready for Send</t>
        </is>
      </c>
      <c r="V77" s="18" t="inlineStr">
        <is>
          <t>Sample_FOA_Proposal_Blueprint.pdf</t>
        </is>
      </c>
      <c r="W77" s="18" t="inlineStr">
        <is>
          <t>Form_Energy_Capital_Intelligence_Dossier.pdf</t>
        </is>
      </c>
      <c r="X77" s="18" t="inlineStr">
        <is>
          <t>Energy_Innovation_Terminal_by_AIxEnergy_Capabilities_Brief.pdf</t>
        </is>
      </c>
    </row>
    <row r="78" ht="22" customHeight="1">
      <c r="A78" s="8" t="n">
        <v>77</v>
      </c>
      <c r="B78" s="16" t="inlineStr">
        <is>
          <t>Wilson Sonsini</t>
        </is>
      </c>
      <c r="C78" s="16" t="inlineStr">
        <is>
          <t>Clean Tech &amp; Energy Advisory</t>
        </is>
      </c>
      <c r="D78" s="16" t="inlineStr">
        <is>
          <t>Robert O'Connor</t>
        </is>
      </c>
      <c r="E78" s="16" t="inlineStr">
        <is>
          <t>Partner, Energy &amp; Infrastructure</t>
        </is>
      </c>
      <c r="F78" s="16" t="inlineStr">
        <is>
          <t>roconnor@wsgr.com</t>
        </is>
      </c>
      <c r="G78" s="16" t="inlineStr">
        <is>
          <t>(650) 493-9300</t>
        </is>
      </c>
      <c r="H78" s="16" t="inlineStr">
        <is>
          <t>https://linkedin.com/in/roberto'connor</t>
        </is>
      </c>
      <c r="I78" s="16" t="inlineStr">
        <is>
          <t>https://energyadvisory.com</t>
        </is>
      </c>
      <c r="J78" s="16" t="inlineStr">
        <is>
          <t>Palo Alto, CA</t>
        </is>
      </c>
      <c r="K78" s="16" t="inlineStr">
        <is>
          <t>20-100</t>
        </is>
      </c>
      <c r="L78" s="16" t="inlineStr">
        <is>
          <t>DOE, NYSERDA, CEC, NSF</t>
        </is>
      </c>
      <c r="M78" s="16" t="inlineStr">
        <is>
          <t>Clean Tech Startups, Utilities, Research Consortia</t>
        </is>
      </c>
      <c r="N78" s="16" t="inlineStr">
        <is>
          <t>Manual FOA decomposition and multi-database research consuming 20+ hours per proposal</t>
        </is>
      </c>
      <c r="O78" s="16" t="inlineStr">
        <is>
          <t>10-second FOA shredder, 4-part PDF blueprints, and 5-stage capital continuum ledgers</t>
        </is>
      </c>
      <c r="P78" s="16" t="inlineStr">
        <is>
          <t>$1,500 / seat / mo (Flat Rate)</t>
        </is>
      </c>
      <c r="Q78" s="8" t="n">
        <v>5</v>
      </c>
      <c r="R78" s="17">
        <f>Q78*1500</f>
        <v/>
      </c>
      <c r="S78" s="17">
        <f>R78*12</f>
        <v/>
      </c>
      <c r="T78" s="8" t="inlineStr">
        <is>
          <t>Fast (1-2 wks)</t>
        </is>
      </c>
      <c r="U78" s="16" t="inlineStr">
        <is>
          <t>Ready for Send</t>
        </is>
      </c>
      <c r="V78" s="16" t="inlineStr">
        <is>
          <t>Sample_FOA_Proposal_Blueprint.pdf</t>
        </is>
      </c>
      <c r="W78" s="16" t="inlineStr">
        <is>
          <t>Form_Energy_Capital_Intelligence_Dossier.pdf</t>
        </is>
      </c>
      <c r="X78" s="16" t="inlineStr">
        <is>
          <t>Energy_Innovation_Terminal_by_AIxEnergy_Capabilities_Brief.pdf</t>
        </is>
      </c>
    </row>
    <row r="79" ht="22" customHeight="1">
      <c r="A79" s="12" t="n">
        <v>78</v>
      </c>
      <c r="B79" s="18" t="inlineStr">
        <is>
          <t>Wilson Sonsini</t>
        </is>
      </c>
      <c r="C79" s="18" t="inlineStr">
        <is>
          <t>Clean Tech &amp; Energy Advisory</t>
        </is>
      </c>
      <c r="D79" s="18" t="inlineStr">
        <is>
          <t>Elise Zoli</t>
        </is>
      </c>
      <c r="E79" s="18" t="inlineStr">
        <is>
          <t>Partner, Energy Transition Practice</t>
        </is>
      </c>
      <c r="F79" s="18" t="inlineStr">
        <is>
          <t>ezoli@wsgr.com</t>
        </is>
      </c>
      <c r="G79" s="18" t="inlineStr">
        <is>
          <t>(617) 598-7800</t>
        </is>
      </c>
      <c r="H79" s="18" t="inlineStr">
        <is>
          <t>https://linkedin.com/in/elisezoli</t>
        </is>
      </c>
      <c r="I79" s="18" t="inlineStr">
        <is>
          <t>https://energyadvisory.com</t>
        </is>
      </c>
      <c r="J79" s="18" t="inlineStr">
        <is>
          <t>Boston, MA</t>
        </is>
      </c>
      <c r="K79" s="18" t="inlineStr">
        <is>
          <t>20-100</t>
        </is>
      </c>
      <c r="L79" s="18" t="inlineStr">
        <is>
          <t>DOE, NYSERDA, CEC, NSF</t>
        </is>
      </c>
      <c r="M79" s="18" t="inlineStr">
        <is>
          <t>Clean Tech Startups, Utilities, Research Consortia</t>
        </is>
      </c>
      <c r="N79" s="18" t="inlineStr">
        <is>
          <t>Manual FOA decomposition and multi-database research consuming 20+ hours per proposal</t>
        </is>
      </c>
      <c r="O79" s="18" t="inlineStr">
        <is>
          <t>10-second FOA shredder, 4-part PDF blueprints, and 5-stage capital continuum ledgers</t>
        </is>
      </c>
      <c r="P79" s="18" t="inlineStr">
        <is>
          <t>$1,500 / seat / mo (Flat Rate)</t>
        </is>
      </c>
      <c r="Q79" s="12" t="n">
        <v>5</v>
      </c>
      <c r="R79" s="19">
        <f>Q79*1500</f>
        <v/>
      </c>
      <c r="S79" s="19">
        <f>R79*12</f>
        <v/>
      </c>
      <c r="T79" s="12" t="inlineStr">
        <is>
          <t>Fast (1-2 wks)</t>
        </is>
      </c>
      <c r="U79" s="18" t="inlineStr">
        <is>
          <t>Ready for Send</t>
        </is>
      </c>
      <c r="V79" s="18" t="inlineStr">
        <is>
          <t>Sample_FOA_Proposal_Blueprint.pdf</t>
        </is>
      </c>
      <c r="W79" s="18" t="inlineStr">
        <is>
          <t>Form_Energy_Capital_Intelligence_Dossier.pdf</t>
        </is>
      </c>
      <c r="X79" s="18" t="inlineStr">
        <is>
          <t>Energy_Innovation_Terminal_by_AIxEnergy_Capabilities_Brief.pdf</t>
        </is>
      </c>
    </row>
    <row r="80" ht="22" customHeight="1">
      <c r="A80" s="8" t="n">
        <v>79</v>
      </c>
      <c r="B80" s="16" t="inlineStr">
        <is>
          <t>Foley Hoag LLP</t>
        </is>
      </c>
      <c r="C80" s="16" t="inlineStr">
        <is>
          <t>Clean Tech &amp; Energy Advisory</t>
        </is>
      </c>
      <c r="D80" s="16" t="inlineStr">
        <is>
          <t>Seth Hoedl</t>
        </is>
      </c>
      <c r="E80" s="16" t="inlineStr">
        <is>
          <t>Partner, Energy &amp; Climate</t>
        </is>
      </c>
      <c r="F80" s="16" t="inlineStr">
        <is>
          <t>shoedl@foleyhoag.com</t>
        </is>
      </c>
      <c r="G80" s="16" t="inlineStr">
        <is>
          <t>(617) 832-1000</t>
        </is>
      </c>
      <c r="H80" s="16" t="inlineStr">
        <is>
          <t>https://linkedin.com/in/sethhoedl</t>
        </is>
      </c>
      <c r="I80" s="16" t="inlineStr">
        <is>
          <t>https://energyadvisory.com</t>
        </is>
      </c>
      <c r="J80" s="16" t="inlineStr">
        <is>
          <t>Boston, MA</t>
        </is>
      </c>
      <c r="K80" s="16" t="inlineStr">
        <is>
          <t>20-100</t>
        </is>
      </c>
      <c r="L80" s="16" t="inlineStr">
        <is>
          <t>DOE, NYSERDA, CEC, NSF</t>
        </is>
      </c>
      <c r="M80" s="16" t="inlineStr">
        <is>
          <t>Clean Tech Startups, Utilities, Research Consortia</t>
        </is>
      </c>
      <c r="N80" s="16" t="inlineStr">
        <is>
          <t>Manual FOA decomposition and multi-database research consuming 20+ hours per proposal</t>
        </is>
      </c>
      <c r="O80" s="16" t="inlineStr">
        <is>
          <t>10-second FOA shredder, 4-part PDF blueprints, and 5-stage capital continuum ledgers</t>
        </is>
      </c>
      <c r="P80" s="16" t="inlineStr">
        <is>
          <t>$1,500 / seat / mo (Flat Rate)</t>
        </is>
      </c>
      <c r="Q80" s="8" t="n">
        <v>5</v>
      </c>
      <c r="R80" s="17">
        <f>Q80*1500</f>
        <v/>
      </c>
      <c r="S80" s="17">
        <f>R80*12</f>
        <v/>
      </c>
      <c r="T80" s="8" t="inlineStr">
        <is>
          <t>Fast (1-2 wks)</t>
        </is>
      </c>
      <c r="U80" s="16" t="inlineStr">
        <is>
          <t>Ready for Send</t>
        </is>
      </c>
      <c r="V80" s="16" t="inlineStr">
        <is>
          <t>Sample_FOA_Proposal_Blueprint.pdf</t>
        </is>
      </c>
      <c r="W80" s="16" t="inlineStr">
        <is>
          <t>Form_Energy_Capital_Intelligence_Dossier.pdf</t>
        </is>
      </c>
      <c r="X80" s="16" t="inlineStr">
        <is>
          <t>Energy_Innovation_Terminal_by_AIxEnergy_Capabilities_Brief.pdf</t>
        </is>
      </c>
    </row>
    <row r="81" ht="22" customHeight="1">
      <c r="A81" s="12" t="n">
        <v>80</v>
      </c>
      <c r="B81" s="18" t="inlineStr">
        <is>
          <t>Foley Hoag LLP</t>
        </is>
      </c>
      <c r="C81" s="18" t="inlineStr">
        <is>
          <t>Clean Tech &amp; Energy Advisory</t>
        </is>
      </c>
      <c r="D81" s="18" t="inlineStr">
        <is>
          <t>Kenneth Robinson</t>
        </is>
      </c>
      <c r="E81" s="18" t="inlineStr">
        <is>
          <t>Partner, Cleantech &amp; Energy</t>
        </is>
      </c>
      <c r="F81" s="18" t="inlineStr">
        <is>
          <t>krobinson@foleyhoag.com</t>
        </is>
      </c>
      <c r="G81" s="18" t="inlineStr">
        <is>
          <t>(617) 832-1000</t>
        </is>
      </c>
      <c r="H81" s="18" t="inlineStr">
        <is>
          <t>https://linkedin.com/in/kennethrobinson</t>
        </is>
      </c>
      <c r="I81" s="18" t="inlineStr">
        <is>
          <t>https://energyadvisory.com</t>
        </is>
      </c>
      <c r="J81" s="18" t="inlineStr">
        <is>
          <t>Boston, MA</t>
        </is>
      </c>
      <c r="K81" s="18" t="inlineStr">
        <is>
          <t>20-100</t>
        </is>
      </c>
      <c r="L81" s="18" t="inlineStr">
        <is>
          <t>DOE, NYSERDA, CEC, NSF</t>
        </is>
      </c>
      <c r="M81" s="18" t="inlineStr">
        <is>
          <t>Clean Tech Startups, Utilities, Research Consortia</t>
        </is>
      </c>
      <c r="N81" s="18" t="inlineStr">
        <is>
          <t>Manual FOA decomposition and multi-database research consuming 20+ hours per proposal</t>
        </is>
      </c>
      <c r="O81" s="18" t="inlineStr">
        <is>
          <t>10-second FOA shredder, 4-part PDF blueprints, and 5-stage capital continuum ledgers</t>
        </is>
      </c>
      <c r="P81" s="18" t="inlineStr">
        <is>
          <t>$1,500 / seat / mo (Flat Rate)</t>
        </is>
      </c>
      <c r="Q81" s="12" t="n">
        <v>5</v>
      </c>
      <c r="R81" s="19">
        <f>Q81*1500</f>
        <v/>
      </c>
      <c r="S81" s="19">
        <f>R81*12</f>
        <v/>
      </c>
      <c r="T81" s="12" t="inlineStr">
        <is>
          <t>Fast (1-2 wks)</t>
        </is>
      </c>
      <c r="U81" s="18" t="inlineStr">
        <is>
          <t>Ready for Send</t>
        </is>
      </c>
      <c r="V81" s="18" t="inlineStr">
        <is>
          <t>Sample_FOA_Proposal_Blueprint.pdf</t>
        </is>
      </c>
      <c r="W81" s="18" t="inlineStr">
        <is>
          <t>Form_Energy_Capital_Intelligence_Dossier.pdf</t>
        </is>
      </c>
      <c r="X81" s="18" t="inlineStr">
        <is>
          <t>Energy_Innovation_Terminal_by_AIxEnergy_Capabilities_Brief.pdf</t>
        </is>
      </c>
    </row>
    <row r="82" ht="22" customHeight="1">
      <c r="A82" s="8" t="n">
        <v>81</v>
      </c>
      <c r="B82" s="16" t="inlineStr">
        <is>
          <t>Holland &amp; Knight LLP</t>
        </is>
      </c>
      <c r="C82" s="16" t="inlineStr">
        <is>
          <t>Clean Tech &amp; Energy Advisory</t>
        </is>
      </c>
      <c r="D82" s="16" t="inlineStr">
        <is>
          <t>Taite McDonald</t>
        </is>
      </c>
      <c r="E82" s="16" t="inlineStr">
        <is>
          <t>Partner &amp; Head of Government Contracts / Grants</t>
        </is>
      </c>
      <c r="F82" s="16" t="inlineStr">
        <is>
          <t>taite.mcdonald@hklaw.com</t>
        </is>
      </c>
      <c r="G82" s="16" t="inlineStr">
        <is>
          <t>(202) 469-5100</t>
        </is>
      </c>
      <c r="H82" s="16" t="inlineStr">
        <is>
          <t>https://linkedin.com/in/taitemcdonald</t>
        </is>
      </c>
      <c r="I82" s="16" t="inlineStr">
        <is>
          <t>https://energyadvisory.com</t>
        </is>
      </c>
      <c r="J82" s="16" t="inlineStr">
        <is>
          <t>Washington, DC</t>
        </is>
      </c>
      <c r="K82" s="16" t="inlineStr">
        <is>
          <t>20-100</t>
        </is>
      </c>
      <c r="L82" s="16" t="inlineStr">
        <is>
          <t>DOE, NYSERDA, CEC, NSF</t>
        </is>
      </c>
      <c r="M82" s="16" t="inlineStr">
        <is>
          <t>Clean Tech Startups, Utilities, Research Consortia</t>
        </is>
      </c>
      <c r="N82" s="16" t="inlineStr">
        <is>
          <t>Manual FOA decomposition and multi-database research consuming 20+ hours per proposal</t>
        </is>
      </c>
      <c r="O82" s="16" t="inlineStr">
        <is>
          <t>10-second FOA shredder, 4-part PDF blueprints, and 5-stage capital continuum ledgers</t>
        </is>
      </c>
      <c r="P82" s="16" t="inlineStr">
        <is>
          <t>$1,500 / seat / mo (Flat Rate)</t>
        </is>
      </c>
      <c r="Q82" s="8" t="n">
        <v>5</v>
      </c>
      <c r="R82" s="17">
        <f>Q82*1500</f>
        <v/>
      </c>
      <c r="S82" s="17">
        <f>R82*12</f>
        <v/>
      </c>
      <c r="T82" s="8" t="inlineStr">
        <is>
          <t>Fast (1-2 wks)</t>
        </is>
      </c>
      <c r="U82" s="16" t="inlineStr">
        <is>
          <t>Ready for Send</t>
        </is>
      </c>
      <c r="V82" s="16" t="inlineStr">
        <is>
          <t>Sample_FOA_Proposal_Blueprint.pdf</t>
        </is>
      </c>
      <c r="W82" s="16" t="inlineStr">
        <is>
          <t>Form_Energy_Capital_Intelligence_Dossier.pdf</t>
        </is>
      </c>
      <c r="X82" s="16" t="inlineStr">
        <is>
          <t>Energy_Innovation_Terminal_by_AIxEnergy_Capabilities_Brief.pdf</t>
        </is>
      </c>
    </row>
    <row r="83" ht="22" customHeight="1">
      <c r="A83" s="12" t="n">
        <v>82</v>
      </c>
      <c r="B83" s="18" t="inlineStr">
        <is>
          <t>Holland &amp; Knight LLP</t>
        </is>
      </c>
      <c r="C83" s="18" t="inlineStr">
        <is>
          <t>Clean Tech &amp; Energy Advisory</t>
        </is>
      </c>
      <c r="D83" s="18" t="inlineStr">
        <is>
          <t>Anita Patel</t>
        </is>
      </c>
      <c r="E83" s="18" t="inlineStr">
        <is>
          <t>Senior Counsel, Energy &amp; Clean Tech</t>
        </is>
      </c>
      <c r="F83" s="18" t="inlineStr">
        <is>
          <t>anita.patel@hklaw.com</t>
        </is>
      </c>
      <c r="G83" s="18" t="inlineStr">
        <is>
          <t>(202) 955-3000</t>
        </is>
      </c>
      <c r="H83" s="18" t="inlineStr">
        <is>
          <t>https://linkedin.com/in/anitapatel</t>
        </is>
      </c>
      <c r="I83" s="18" t="inlineStr">
        <is>
          <t>https://energyadvisory.com</t>
        </is>
      </c>
      <c r="J83" s="18" t="inlineStr">
        <is>
          <t>Washington, DC</t>
        </is>
      </c>
      <c r="K83" s="18" t="inlineStr">
        <is>
          <t>20-100</t>
        </is>
      </c>
      <c r="L83" s="18" t="inlineStr">
        <is>
          <t>DOE, NYSERDA, CEC, NSF</t>
        </is>
      </c>
      <c r="M83" s="18" t="inlineStr">
        <is>
          <t>Clean Tech Startups, Utilities, Research Consortia</t>
        </is>
      </c>
      <c r="N83" s="18" t="inlineStr">
        <is>
          <t>Manual FOA decomposition and multi-database research consuming 20+ hours per proposal</t>
        </is>
      </c>
      <c r="O83" s="18" t="inlineStr">
        <is>
          <t>10-second FOA shredder, 4-part PDF blueprints, and 5-stage capital continuum ledgers</t>
        </is>
      </c>
      <c r="P83" s="18" t="inlineStr">
        <is>
          <t>$1,500 / seat / mo (Flat Rate)</t>
        </is>
      </c>
      <c r="Q83" s="12" t="n">
        <v>5</v>
      </c>
      <c r="R83" s="19">
        <f>Q83*1500</f>
        <v/>
      </c>
      <c r="S83" s="19">
        <f>R83*12</f>
        <v/>
      </c>
      <c r="T83" s="12" t="inlineStr">
        <is>
          <t>Fast (1-2 wks)</t>
        </is>
      </c>
      <c r="U83" s="18" t="inlineStr">
        <is>
          <t>Ready for Send</t>
        </is>
      </c>
      <c r="V83" s="18" t="inlineStr">
        <is>
          <t>Sample_FOA_Proposal_Blueprint.pdf</t>
        </is>
      </c>
      <c r="W83" s="18" t="inlineStr">
        <is>
          <t>Form_Energy_Capital_Intelligence_Dossier.pdf</t>
        </is>
      </c>
      <c r="X83" s="18" t="inlineStr">
        <is>
          <t>Energy_Innovation_Terminal_by_AIxEnergy_Capabilities_Brief.pdf</t>
        </is>
      </c>
    </row>
    <row r="84" ht="22" customHeight="1">
      <c r="A84" s="8" t="n">
        <v>83</v>
      </c>
      <c r="B84" s="16" t="inlineStr">
        <is>
          <t>Holland &amp; Knight LLP</t>
        </is>
      </c>
      <c r="C84" s="16" t="inlineStr">
        <is>
          <t>Clean Tech &amp; Energy Advisory</t>
        </is>
      </c>
      <c r="D84" s="16" t="inlineStr">
        <is>
          <t>Doug Benevento</t>
        </is>
      </c>
      <c r="E84" s="16" t="inlineStr">
        <is>
          <t>Partner, Environment &amp; Energy</t>
        </is>
      </c>
      <c r="F84" s="16" t="inlineStr">
        <is>
          <t>doug.benevento@hklaw.com</t>
        </is>
      </c>
      <c r="G84" s="16" t="inlineStr">
        <is>
          <t>(303) 975-1600</t>
        </is>
      </c>
      <c r="H84" s="16" t="inlineStr">
        <is>
          <t>https://linkedin.com/in/dougbenevento</t>
        </is>
      </c>
      <c r="I84" s="16" t="inlineStr">
        <is>
          <t>https://energyadvisory.com</t>
        </is>
      </c>
      <c r="J84" s="16" t="inlineStr">
        <is>
          <t>Denver, CO</t>
        </is>
      </c>
      <c r="K84" s="16" t="inlineStr">
        <is>
          <t>20-100</t>
        </is>
      </c>
      <c r="L84" s="16" t="inlineStr">
        <is>
          <t>DOE, NYSERDA, CEC, NSF</t>
        </is>
      </c>
      <c r="M84" s="16" t="inlineStr">
        <is>
          <t>Clean Tech Startups, Utilities, Research Consortia</t>
        </is>
      </c>
      <c r="N84" s="16" t="inlineStr">
        <is>
          <t>Manual FOA decomposition and multi-database research consuming 20+ hours per proposal</t>
        </is>
      </c>
      <c r="O84" s="16" t="inlineStr">
        <is>
          <t>10-second FOA shredder, 4-part PDF blueprints, and 5-stage capital continuum ledgers</t>
        </is>
      </c>
      <c r="P84" s="16" t="inlineStr">
        <is>
          <t>$1,500 / seat / mo (Flat Rate)</t>
        </is>
      </c>
      <c r="Q84" s="8" t="n">
        <v>5</v>
      </c>
      <c r="R84" s="17">
        <f>Q84*1500</f>
        <v/>
      </c>
      <c r="S84" s="17">
        <f>R84*12</f>
        <v/>
      </c>
      <c r="T84" s="8" t="inlineStr">
        <is>
          <t>Fast (1-2 wks)</t>
        </is>
      </c>
      <c r="U84" s="16" t="inlineStr">
        <is>
          <t>Ready for Send</t>
        </is>
      </c>
      <c r="V84" s="16" t="inlineStr">
        <is>
          <t>Sample_FOA_Proposal_Blueprint.pdf</t>
        </is>
      </c>
      <c r="W84" s="16" t="inlineStr">
        <is>
          <t>Form_Energy_Capital_Intelligence_Dossier.pdf</t>
        </is>
      </c>
      <c r="X84" s="16" t="inlineStr">
        <is>
          <t>Energy_Innovation_Terminal_by_AIxEnergy_Capabilities_Brief.pdf</t>
        </is>
      </c>
    </row>
    <row r="85" ht="22" customHeight="1">
      <c r="A85" s="12" t="n">
        <v>84</v>
      </c>
      <c r="B85" s="18" t="inlineStr">
        <is>
          <t>Van Ness Feldman LLP</t>
        </is>
      </c>
      <c r="C85" s="18" t="inlineStr">
        <is>
          <t>Clean Tech &amp; Energy Advisory</t>
        </is>
      </c>
      <c r="D85" s="18" t="inlineStr">
        <is>
          <t>Bob Szabo</t>
        </is>
      </c>
      <c r="E85" s="18" t="inlineStr">
        <is>
          <t>Partner &amp; Energy Practice Co-Lead</t>
        </is>
      </c>
      <c r="F85" s="18" t="inlineStr">
        <is>
          <t>rgs@vnf.com</t>
        </is>
      </c>
      <c r="G85" s="18" t="inlineStr">
        <is>
          <t>(202) 298-1800</t>
        </is>
      </c>
      <c r="H85" s="18" t="inlineStr">
        <is>
          <t>https://linkedin.com/in/bobszabo</t>
        </is>
      </c>
      <c r="I85" s="18" t="inlineStr">
        <is>
          <t>https://energyadvisory.com</t>
        </is>
      </c>
      <c r="J85" s="18" t="inlineStr">
        <is>
          <t>Washington, DC</t>
        </is>
      </c>
      <c r="K85" s="18" t="inlineStr">
        <is>
          <t>20-100</t>
        </is>
      </c>
      <c r="L85" s="18" t="inlineStr">
        <is>
          <t>DOE, NYSERDA, CEC, NSF</t>
        </is>
      </c>
      <c r="M85" s="18" t="inlineStr">
        <is>
          <t>Clean Tech Startups, Utilities, Research Consortia</t>
        </is>
      </c>
      <c r="N85" s="18" t="inlineStr">
        <is>
          <t>Manual FOA decomposition and multi-database research consuming 20+ hours per proposal</t>
        </is>
      </c>
      <c r="O85" s="18" t="inlineStr">
        <is>
          <t>10-second FOA shredder, 4-part PDF blueprints, and 5-stage capital continuum ledgers</t>
        </is>
      </c>
      <c r="P85" s="18" t="inlineStr">
        <is>
          <t>$1,500 / seat / mo (Flat Rate)</t>
        </is>
      </c>
      <c r="Q85" s="12" t="n">
        <v>5</v>
      </c>
      <c r="R85" s="19">
        <f>Q85*1500</f>
        <v/>
      </c>
      <c r="S85" s="19">
        <f>R85*12</f>
        <v/>
      </c>
      <c r="T85" s="12" t="inlineStr">
        <is>
          <t>Fast (1-2 wks)</t>
        </is>
      </c>
      <c r="U85" s="18" t="inlineStr">
        <is>
          <t>Ready for Send</t>
        </is>
      </c>
      <c r="V85" s="18" t="inlineStr">
        <is>
          <t>Sample_FOA_Proposal_Blueprint.pdf</t>
        </is>
      </c>
      <c r="W85" s="18" t="inlineStr">
        <is>
          <t>Form_Energy_Capital_Intelligence_Dossier.pdf</t>
        </is>
      </c>
      <c r="X85" s="18" t="inlineStr">
        <is>
          <t>Energy_Innovation_Terminal_by_AIxEnergy_Capabilities_Brief.pdf</t>
        </is>
      </c>
    </row>
    <row r="86" ht="22" customHeight="1">
      <c r="A86" s="8" t="n">
        <v>85</v>
      </c>
      <c r="B86" s="16" t="inlineStr">
        <is>
          <t>Van Ness Feldman LLP</t>
        </is>
      </c>
      <c r="C86" s="16" t="inlineStr">
        <is>
          <t>Clean Tech &amp; Energy Advisory</t>
        </is>
      </c>
      <c r="D86" s="16" t="inlineStr">
        <is>
          <t>Tanner Johnson</t>
        </is>
      </c>
      <c r="E86" s="16" t="inlineStr">
        <is>
          <t>Senior Policy Advisor</t>
        </is>
      </c>
      <c r="F86" s="16" t="inlineStr">
        <is>
          <t>tjj@vnf.com</t>
        </is>
      </c>
      <c r="G86" s="16" t="inlineStr">
        <is>
          <t>(202) 298-1800</t>
        </is>
      </c>
      <c r="H86" s="16" t="inlineStr">
        <is>
          <t>https://linkedin.com/in/tannerjohnson</t>
        </is>
      </c>
      <c r="I86" s="16" t="inlineStr">
        <is>
          <t>https://energyadvisory.com</t>
        </is>
      </c>
      <c r="J86" s="16" t="inlineStr">
        <is>
          <t>Washington, DC</t>
        </is>
      </c>
      <c r="K86" s="16" t="inlineStr">
        <is>
          <t>20-100</t>
        </is>
      </c>
      <c r="L86" s="16" t="inlineStr">
        <is>
          <t>DOE, NYSERDA, CEC, NSF</t>
        </is>
      </c>
      <c r="M86" s="16" t="inlineStr">
        <is>
          <t>Clean Tech Startups, Utilities, Research Consortia</t>
        </is>
      </c>
      <c r="N86" s="16" t="inlineStr">
        <is>
          <t>Manual FOA decomposition and multi-database research consuming 20+ hours per proposal</t>
        </is>
      </c>
      <c r="O86" s="16" t="inlineStr">
        <is>
          <t>10-second FOA shredder, 4-part PDF blueprints, and 5-stage capital continuum ledgers</t>
        </is>
      </c>
      <c r="P86" s="16" t="inlineStr">
        <is>
          <t>$1,500 / seat / mo (Flat Rate)</t>
        </is>
      </c>
      <c r="Q86" s="8" t="n">
        <v>5</v>
      </c>
      <c r="R86" s="17">
        <f>Q86*1500</f>
        <v/>
      </c>
      <c r="S86" s="17">
        <f>R86*12</f>
        <v/>
      </c>
      <c r="T86" s="8" t="inlineStr">
        <is>
          <t>Fast (1-2 wks)</t>
        </is>
      </c>
      <c r="U86" s="16" t="inlineStr">
        <is>
          <t>Ready for Send</t>
        </is>
      </c>
      <c r="V86" s="16" t="inlineStr">
        <is>
          <t>Sample_FOA_Proposal_Blueprint.pdf</t>
        </is>
      </c>
      <c r="W86" s="16" t="inlineStr">
        <is>
          <t>Form_Energy_Capital_Intelligence_Dossier.pdf</t>
        </is>
      </c>
      <c r="X86" s="16" t="inlineStr">
        <is>
          <t>Energy_Innovation_Terminal_by_AIxEnergy_Capabilities_Brief.pdf</t>
        </is>
      </c>
    </row>
    <row r="87" ht="22" customHeight="1">
      <c r="A87" s="12" t="n">
        <v>86</v>
      </c>
      <c r="B87" s="18" t="inlineStr">
        <is>
          <t>Van Ness Feldman LLP</t>
        </is>
      </c>
      <c r="C87" s="18" t="inlineStr">
        <is>
          <t>Clean Tech &amp; Energy Advisory</t>
        </is>
      </c>
      <c r="D87" s="18" t="inlineStr">
        <is>
          <t>Paul Kjellander</t>
        </is>
      </c>
      <c r="E87" s="18" t="inlineStr">
        <is>
          <t>Senior Advisor, Energy</t>
        </is>
      </c>
      <c r="F87" s="18" t="inlineStr">
        <is>
          <t>pkjellander@vnf.com</t>
        </is>
      </c>
      <c r="G87" s="18" t="inlineStr">
        <is>
          <t>(202) 298-1800</t>
        </is>
      </c>
      <c r="H87" s="18" t="inlineStr">
        <is>
          <t>https://linkedin.com/in/paulkjellander</t>
        </is>
      </c>
      <c r="I87" s="18" t="inlineStr">
        <is>
          <t>https://energyadvisory.com</t>
        </is>
      </c>
      <c r="J87" s="18" t="inlineStr">
        <is>
          <t>Washington, DC</t>
        </is>
      </c>
      <c r="K87" s="18" t="inlineStr">
        <is>
          <t>20-100</t>
        </is>
      </c>
      <c r="L87" s="18" t="inlineStr">
        <is>
          <t>DOE, NYSERDA, CEC, NSF</t>
        </is>
      </c>
      <c r="M87" s="18" t="inlineStr">
        <is>
          <t>Clean Tech Startups, Utilities, Research Consortia</t>
        </is>
      </c>
      <c r="N87" s="18" t="inlineStr">
        <is>
          <t>Manual FOA decomposition and multi-database research consuming 20+ hours per proposal</t>
        </is>
      </c>
      <c r="O87" s="18" t="inlineStr">
        <is>
          <t>10-second FOA shredder, 4-part PDF blueprints, and 5-stage capital continuum ledgers</t>
        </is>
      </c>
      <c r="P87" s="18" t="inlineStr">
        <is>
          <t>$1,500 / seat / mo (Flat Rate)</t>
        </is>
      </c>
      <c r="Q87" s="12" t="n">
        <v>5</v>
      </c>
      <c r="R87" s="19">
        <f>Q87*1500</f>
        <v/>
      </c>
      <c r="S87" s="19">
        <f>R87*12</f>
        <v/>
      </c>
      <c r="T87" s="12" t="inlineStr">
        <is>
          <t>Fast (1-2 wks)</t>
        </is>
      </c>
      <c r="U87" s="18" t="inlineStr">
        <is>
          <t>Ready for Send</t>
        </is>
      </c>
      <c r="V87" s="18" t="inlineStr">
        <is>
          <t>Sample_FOA_Proposal_Blueprint.pdf</t>
        </is>
      </c>
      <c r="W87" s="18" t="inlineStr">
        <is>
          <t>Form_Energy_Capital_Intelligence_Dossier.pdf</t>
        </is>
      </c>
      <c r="X87" s="18" t="inlineStr">
        <is>
          <t>Energy_Innovation_Terminal_by_AIxEnergy_Capabilities_Brief.pdf</t>
        </is>
      </c>
    </row>
    <row r="88" ht="22" customHeight="1">
      <c r="A88" s="8" t="n">
        <v>87</v>
      </c>
      <c r="B88" s="16" t="inlineStr">
        <is>
          <t>Cassidy &amp; Associates</t>
        </is>
      </c>
      <c r="C88" s="16" t="inlineStr">
        <is>
          <t>Clean Tech &amp; Energy Advisory</t>
        </is>
      </c>
      <c r="D88" s="16" t="inlineStr">
        <is>
          <t>Arthur Mason</t>
        </is>
      </c>
      <c r="E88" s="16" t="inlineStr">
        <is>
          <t>Co-Chair, Energy &amp; Environment</t>
        </is>
      </c>
      <c r="F88" s="16" t="inlineStr">
        <is>
          <t>amason@cassidy.com</t>
        </is>
      </c>
      <c r="G88" s="16" t="inlineStr">
        <is>
          <t>(202) 347-0773</t>
        </is>
      </c>
      <c r="H88" s="16" t="inlineStr">
        <is>
          <t>https://linkedin.com/in/arthurmason</t>
        </is>
      </c>
      <c r="I88" s="16" t="inlineStr">
        <is>
          <t>https://energyadvisory.com</t>
        </is>
      </c>
      <c r="J88" s="16" t="inlineStr">
        <is>
          <t>Washington, DC</t>
        </is>
      </c>
      <c r="K88" s="16" t="inlineStr">
        <is>
          <t>20-100</t>
        </is>
      </c>
      <c r="L88" s="16" t="inlineStr">
        <is>
          <t>DOE, NYSERDA, CEC, NSF</t>
        </is>
      </c>
      <c r="M88" s="16" t="inlineStr">
        <is>
          <t>Clean Tech Startups, Utilities, Research Consortia</t>
        </is>
      </c>
      <c r="N88" s="16" t="inlineStr">
        <is>
          <t>Manual FOA decomposition and multi-database research consuming 20+ hours per proposal</t>
        </is>
      </c>
      <c r="O88" s="16" t="inlineStr">
        <is>
          <t>10-second FOA shredder, 4-part PDF blueprints, and 5-stage capital continuum ledgers</t>
        </is>
      </c>
      <c r="P88" s="16" t="inlineStr">
        <is>
          <t>$1,500 / seat / mo (Flat Rate)</t>
        </is>
      </c>
      <c r="Q88" s="8" t="n">
        <v>5</v>
      </c>
      <c r="R88" s="17">
        <f>Q88*1500</f>
        <v/>
      </c>
      <c r="S88" s="17">
        <f>R88*12</f>
        <v/>
      </c>
      <c r="T88" s="8" t="inlineStr">
        <is>
          <t>Fast (1-2 wks)</t>
        </is>
      </c>
      <c r="U88" s="16" t="inlineStr">
        <is>
          <t>Ready for Send</t>
        </is>
      </c>
      <c r="V88" s="16" t="inlineStr">
        <is>
          <t>Sample_FOA_Proposal_Blueprint.pdf</t>
        </is>
      </c>
      <c r="W88" s="16" t="inlineStr">
        <is>
          <t>Form_Energy_Capital_Intelligence_Dossier.pdf</t>
        </is>
      </c>
      <c r="X88" s="16" t="inlineStr">
        <is>
          <t>Energy_Innovation_Terminal_by_AIxEnergy_Capabilities_Brief.pdf</t>
        </is>
      </c>
    </row>
    <row r="89" ht="22" customHeight="1">
      <c r="A89" s="12" t="n">
        <v>88</v>
      </c>
      <c r="B89" s="18" t="inlineStr">
        <is>
          <t>Cassidy &amp; Associates</t>
        </is>
      </c>
      <c r="C89" s="18" t="inlineStr">
        <is>
          <t>Clean Tech &amp; Energy Advisory</t>
        </is>
      </c>
      <c r="D89" s="18" t="inlineStr">
        <is>
          <t>Russ Thomasson</t>
        </is>
      </c>
      <c r="E89" s="18" t="inlineStr">
        <is>
          <t>Partner, Energy Practice</t>
        </is>
      </c>
      <c r="F89" s="18" t="inlineStr">
        <is>
          <t>rthomasson@cassidy.com</t>
        </is>
      </c>
      <c r="G89" s="18" t="inlineStr">
        <is>
          <t>(202) 347-0773</t>
        </is>
      </c>
      <c r="H89" s="18" t="inlineStr">
        <is>
          <t>https://linkedin.com/in/russthomasson</t>
        </is>
      </c>
      <c r="I89" s="18" t="inlineStr">
        <is>
          <t>https://energyadvisory.com</t>
        </is>
      </c>
      <c r="J89" s="18" t="inlineStr">
        <is>
          <t>Washington, DC</t>
        </is>
      </c>
      <c r="K89" s="18" t="inlineStr">
        <is>
          <t>20-100</t>
        </is>
      </c>
      <c r="L89" s="18" t="inlineStr">
        <is>
          <t>DOE, NYSERDA, CEC, NSF</t>
        </is>
      </c>
      <c r="M89" s="18" t="inlineStr">
        <is>
          <t>Clean Tech Startups, Utilities, Research Consortia</t>
        </is>
      </c>
      <c r="N89" s="18" t="inlineStr">
        <is>
          <t>Manual FOA decomposition and multi-database research consuming 20+ hours per proposal</t>
        </is>
      </c>
      <c r="O89" s="18" t="inlineStr">
        <is>
          <t>10-second FOA shredder, 4-part PDF blueprints, and 5-stage capital continuum ledgers</t>
        </is>
      </c>
      <c r="P89" s="18" t="inlineStr">
        <is>
          <t>$1,500 / seat / mo (Flat Rate)</t>
        </is>
      </c>
      <c r="Q89" s="12" t="n">
        <v>5</v>
      </c>
      <c r="R89" s="19">
        <f>Q89*1500</f>
        <v/>
      </c>
      <c r="S89" s="19">
        <f>R89*12</f>
        <v/>
      </c>
      <c r="T89" s="12" t="inlineStr">
        <is>
          <t>Fast (1-2 wks)</t>
        </is>
      </c>
      <c r="U89" s="18" t="inlineStr">
        <is>
          <t>Ready for Send</t>
        </is>
      </c>
      <c r="V89" s="18" t="inlineStr">
        <is>
          <t>Sample_FOA_Proposal_Blueprint.pdf</t>
        </is>
      </c>
      <c r="W89" s="18" t="inlineStr">
        <is>
          <t>Form_Energy_Capital_Intelligence_Dossier.pdf</t>
        </is>
      </c>
      <c r="X89" s="18" t="inlineStr">
        <is>
          <t>Energy_Innovation_Terminal_by_AIxEnergy_Capabilities_Brief.pdf</t>
        </is>
      </c>
    </row>
    <row r="90" ht="22" customHeight="1">
      <c r="A90" s="8" t="n">
        <v>89</v>
      </c>
      <c r="B90" s="16" t="inlineStr">
        <is>
          <t>Cassidy &amp; Associates</t>
        </is>
      </c>
      <c r="C90" s="16" t="inlineStr">
        <is>
          <t>Clean Tech &amp; Energy Advisory</t>
        </is>
      </c>
      <c r="D90" s="16" t="inlineStr">
        <is>
          <t>Mark Rey</t>
        </is>
      </c>
      <c r="E90" s="16" t="inlineStr">
        <is>
          <t>Senior Advisor, Natural Resources</t>
        </is>
      </c>
      <c r="F90" s="16" t="inlineStr">
        <is>
          <t>mrey@cassidy.com</t>
        </is>
      </c>
      <c r="G90" s="16" t="inlineStr">
        <is>
          <t>(202) 347-0773</t>
        </is>
      </c>
      <c r="H90" s="16" t="inlineStr">
        <is>
          <t>https://linkedin.com/in/markrey</t>
        </is>
      </c>
      <c r="I90" s="16" t="inlineStr">
        <is>
          <t>https://energyadvisory.com</t>
        </is>
      </c>
      <c r="J90" s="16" t="inlineStr">
        <is>
          <t>Washington, DC</t>
        </is>
      </c>
      <c r="K90" s="16" t="inlineStr">
        <is>
          <t>20-100</t>
        </is>
      </c>
      <c r="L90" s="16" t="inlineStr">
        <is>
          <t>DOE, NYSERDA, CEC, NSF</t>
        </is>
      </c>
      <c r="M90" s="16" t="inlineStr">
        <is>
          <t>Clean Tech Startups, Utilities, Research Consortia</t>
        </is>
      </c>
      <c r="N90" s="16" t="inlineStr">
        <is>
          <t>Manual FOA decomposition and multi-database research consuming 20+ hours per proposal</t>
        </is>
      </c>
      <c r="O90" s="16" t="inlineStr">
        <is>
          <t>10-second FOA shredder, 4-part PDF blueprints, and 5-stage capital continuum ledgers</t>
        </is>
      </c>
      <c r="P90" s="16" t="inlineStr">
        <is>
          <t>$1,500 / seat / mo (Flat Rate)</t>
        </is>
      </c>
      <c r="Q90" s="8" t="n">
        <v>5</v>
      </c>
      <c r="R90" s="17">
        <f>Q90*1500</f>
        <v/>
      </c>
      <c r="S90" s="17">
        <f>R90*12</f>
        <v/>
      </c>
      <c r="T90" s="8" t="inlineStr">
        <is>
          <t>Fast (1-2 wks)</t>
        </is>
      </c>
      <c r="U90" s="16" t="inlineStr">
        <is>
          <t>Ready for Send</t>
        </is>
      </c>
      <c r="V90" s="16" t="inlineStr">
        <is>
          <t>Sample_FOA_Proposal_Blueprint.pdf</t>
        </is>
      </c>
      <c r="W90" s="16" t="inlineStr">
        <is>
          <t>Form_Energy_Capital_Intelligence_Dossier.pdf</t>
        </is>
      </c>
      <c r="X90" s="16" t="inlineStr">
        <is>
          <t>Energy_Innovation_Terminal_by_AIxEnergy_Capabilities_Brief.pdf</t>
        </is>
      </c>
    </row>
    <row r="91" ht="22" customHeight="1">
      <c r="A91" s="12" t="n">
        <v>90</v>
      </c>
      <c r="B91" s="18" t="inlineStr">
        <is>
          <t>Cornerstone Government Affairs</t>
        </is>
      </c>
      <c r="C91" s="18" t="inlineStr">
        <is>
          <t>Clean Tech &amp; Energy Advisory</t>
        </is>
      </c>
      <c r="D91" s="18" t="inlineStr">
        <is>
          <t>Campbell Kaufman</t>
        </is>
      </c>
      <c r="E91" s="18" t="inlineStr">
        <is>
          <t>Managing Director</t>
        </is>
      </c>
      <c r="F91" s="18" t="inlineStr">
        <is>
          <t>ckaufman@cgagroup.com</t>
        </is>
      </c>
      <c r="G91" s="18" t="inlineStr">
        <is>
          <t>(202) 448-9500</t>
        </is>
      </c>
      <c r="H91" s="18" t="inlineStr">
        <is>
          <t>https://linkedin.com/in/campbellkaufman</t>
        </is>
      </c>
      <c r="I91" s="18" t="inlineStr">
        <is>
          <t>https://energyadvisory.com</t>
        </is>
      </c>
      <c r="J91" s="18" t="inlineStr">
        <is>
          <t>Washington, DC</t>
        </is>
      </c>
      <c r="K91" s="18" t="inlineStr">
        <is>
          <t>20-100</t>
        </is>
      </c>
      <c r="L91" s="18" t="inlineStr">
        <is>
          <t>DOE, NYSERDA, CEC, NSF</t>
        </is>
      </c>
      <c r="M91" s="18" t="inlineStr">
        <is>
          <t>Clean Tech Startups, Utilities, Research Consortia</t>
        </is>
      </c>
      <c r="N91" s="18" t="inlineStr">
        <is>
          <t>Manual FOA decomposition and multi-database research consuming 20+ hours per proposal</t>
        </is>
      </c>
      <c r="O91" s="18" t="inlineStr">
        <is>
          <t>10-second FOA shredder, 4-part PDF blueprints, and 5-stage capital continuum ledgers</t>
        </is>
      </c>
      <c r="P91" s="18" t="inlineStr">
        <is>
          <t>$1,500 / seat / mo (Flat Rate)</t>
        </is>
      </c>
      <c r="Q91" s="12" t="n">
        <v>5</v>
      </c>
      <c r="R91" s="19">
        <f>Q91*1500</f>
        <v/>
      </c>
      <c r="S91" s="19">
        <f>R91*12</f>
        <v/>
      </c>
      <c r="T91" s="12" t="inlineStr">
        <is>
          <t>Fast (1-2 wks)</t>
        </is>
      </c>
      <c r="U91" s="18" t="inlineStr">
        <is>
          <t>Ready for Send</t>
        </is>
      </c>
      <c r="V91" s="18" t="inlineStr">
        <is>
          <t>Sample_FOA_Proposal_Blueprint.pdf</t>
        </is>
      </c>
      <c r="W91" s="18" t="inlineStr">
        <is>
          <t>Form_Energy_Capital_Intelligence_Dossier.pdf</t>
        </is>
      </c>
      <c r="X91" s="18" t="inlineStr">
        <is>
          <t>Energy_Innovation_Terminal_by_AIxEnergy_Capabilities_Brief.pdf</t>
        </is>
      </c>
    </row>
    <row r="92" ht="22" customHeight="1">
      <c r="A92" s="8" t="n">
        <v>91</v>
      </c>
      <c r="B92" s="16" t="inlineStr">
        <is>
          <t>Cornerstone Government Affairs</t>
        </is>
      </c>
      <c r="C92" s="16" t="inlineStr">
        <is>
          <t>Clean Tech &amp; Energy Advisory</t>
        </is>
      </c>
      <c r="D92" s="16" t="inlineStr">
        <is>
          <t>Stacy Rich</t>
        </is>
      </c>
      <c r="E92" s="16" t="inlineStr">
        <is>
          <t>Vice President, Clean Tech</t>
        </is>
      </c>
      <c r="F92" s="16" t="inlineStr">
        <is>
          <t>srich@cgagroup.com</t>
        </is>
      </c>
      <c r="G92" s="16" t="inlineStr">
        <is>
          <t>(202) 448-9500</t>
        </is>
      </c>
      <c r="H92" s="16" t="inlineStr">
        <is>
          <t>https://linkedin.com/in/stacyrich</t>
        </is>
      </c>
      <c r="I92" s="16" t="inlineStr">
        <is>
          <t>https://energyadvisory.com</t>
        </is>
      </c>
      <c r="J92" s="16" t="inlineStr">
        <is>
          <t>Washington, DC</t>
        </is>
      </c>
      <c r="K92" s="16" t="inlineStr">
        <is>
          <t>20-100</t>
        </is>
      </c>
      <c r="L92" s="16" t="inlineStr">
        <is>
          <t>DOE, NYSERDA, CEC, NSF</t>
        </is>
      </c>
      <c r="M92" s="16" t="inlineStr">
        <is>
          <t>Clean Tech Startups, Utilities, Research Consortia</t>
        </is>
      </c>
      <c r="N92" s="16" t="inlineStr">
        <is>
          <t>Manual FOA decomposition and multi-database research consuming 20+ hours per proposal</t>
        </is>
      </c>
      <c r="O92" s="16" t="inlineStr">
        <is>
          <t>10-second FOA shredder, 4-part PDF blueprints, and 5-stage capital continuum ledgers</t>
        </is>
      </c>
      <c r="P92" s="16" t="inlineStr">
        <is>
          <t>$1,500 / seat / mo (Flat Rate)</t>
        </is>
      </c>
      <c r="Q92" s="8" t="n">
        <v>5</v>
      </c>
      <c r="R92" s="17">
        <f>Q92*1500</f>
        <v/>
      </c>
      <c r="S92" s="17">
        <f>R92*12</f>
        <v/>
      </c>
      <c r="T92" s="8" t="inlineStr">
        <is>
          <t>Fast (1-2 wks)</t>
        </is>
      </c>
      <c r="U92" s="16" t="inlineStr">
        <is>
          <t>Ready for Send</t>
        </is>
      </c>
      <c r="V92" s="16" t="inlineStr">
        <is>
          <t>Sample_FOA_Proposal_Blueprint.pdf</t>
        </is>
      </c>
      <c r="W92" s="16" t="inlineStr">
        <is>
          <t>Form_Energy_Capital_Intelligence_Dossier.pdf</t>
        </is>
      </c>
      <c r="X92" s="16" t="inlineStr">
        <is>
          <t>Energy_Innovation_Terminal_by_AIxEnergy_Capabilities_Brief.pdf</t>
        </is>
      </c>
    </row>
    <row r="93" ht="22" customHeight="1">
      <c r="A93" s="12" t="n">
        <v>92</v>
      </c>
      <c r="B93" s="18" t="inlineStr">
        <is>
          <t>Cornerstone Government Affairs</t>
        </is>
      </c>
      <c r="C93" s="18" t="inlineStr">
        <is>
          <t>Clean Tech &amp; Energy Advisory</t>
        </is>
      </c>
      <c r="D93" s="18" t="inlineStr">
        <is>
          <t>Todd Webster</t>
        </is>
      </c>
      <c r="E93" s="18" t="inlineStr">
        <is>
          <t>Senior VP, Energy Policy</t>
        </is>
      </c>
      <c r="F93" s="18" t="inlineStr">
        <is>
          <t>twebster@cgagroup.com</t>
        </is>
      </c>
      <c r="G93" s="18" t="inlineStr">
        <is>
          <t>(202) 448-9500</t>
        </is>
      </c>
      <c r="H93" s="18" t="inlineStr">
        <is>
          <t>https://linkedin.com/in/toddwebster</t>
        </is>
      </c>
      <c r="I93" s="18" t="inlineStr">
        <is>
          <t>https://energyadvisory.com</t>
        </is>
      </c>
      <c r="J93" s="18" t="inlineStr">
        <is>
          <t>Washington, DC</t>
        </is>
      </c>
      <c r="K93" s="18" t="inlineStr">
        <is>
          <t>20-100</t>
        </is>
      </c>
      <c r="L93" s="18" t="inlineStr">
        <is>
          <t>DOE, NYSERDA, CEC, NSF</t>
        </is>
      </c>
      <c r="M93" s="18" t="inlineStr">
        <is>
          <t>Clean Tech Startups, Utilities, Research Consortia</t>
        </is>
      </c>
      <c r="N93" s="18" t="inlineStr">
        <is>
          <t>Manual FOA decomposition and multi-database research consuming 20+ hours per proposal</t>
        </is>
      </c>
      <c r="O93" s="18" t="inlineStr">
        <is>
          <t>10-second FOA shredder, 4-part PDF blueprints, and 5-stage capital continuum ledgers</t>
        </is>
      </c>
      <c r="P93" s="18" t="inlineStr">
        <is>
          <t>$1,500 / seat / mo (Flat Rate)</t>
        </is>
      </c>
      <c r="Q93" s="12" t="n">
        <v>5</v>
      </c>
      <c r="R93" s="19">
        <f>Q93*1500</f>
        <v/>
      </c>
      <c r="S93" s="19">
        <f>R93*12</f>
        <v/>
      </c>
      <c r="T93" s="12" t="inlineStr">
        <is>
          <t>Fast (1-2 wks)</t>
        </is>
      </c>
      <c r="U93" s="18" t="inlineStr">
        <is>
          <t>Ready for Send</t>
        </is>
      </c>
      <c r="V93" s="18" t="inlineStr">
        <is>
          <t>Sample_FOA_Proposal_Blueprint.pdf</t>
        </is>
      </c>
      <c r="W93" s="18" t="inlineStr">
        <is>
          <t>Form_Energy_Capital_Intelligence_Dossier.pdf</t>
        </is>
      </c>
      <c r="X93" s="18" t="inlineStr">
        <is>
          <t>Energy_Innovation_Terminal_by_AIxEnergy_Capabilities_Brief.pdf</t>
        </is>
      </c>
    </row>
    <row r="94" ht="22" customHeight="1">
      <c r="A94" s="8" t="n">
        <v>93</v>
      </c>
      <c r="B94" s="16" t="inlineStr">
        <is>
          <t>BGR Group</t>
        </is>
      </c>
      <c r="C94" s="16" t="inlineStr">
        <is>
          <t>Clean Tech &amp; Energy Advisory</t>
        </is>
      </c>
      <c r="D94" s="16" t="inlineStr">
        <is>
          <t>Bill Viney</t>
        </is>
      </c>
      <c r="E94" s="16" t="inlineStr">
        <is>
          <t>Head of Energy Practice</t>
        </is>
      </c>
      <c r="F94" s="16" t="inlineStr">
        <is>
          <t>bviney@bgrdc.com</t>
        </is>
      </c>
      <c r="G94" s="16" t="inlineStr">
        <is>
          <t>(202) 333-4936</t>
        </is>
      </c>
      <c r="H94" s="16" t="inlineStr">
        <is>
          <t>https://linkedin.com/in/billviney</t>
        </is>
      </c>
      <c r="I94" s="16" t="inlineStr">
        <is>
          <t>https://energyadvisory.com</t>
        </is>
      </c>
      <c r="J94" s="16" t="inlineStr">
        <is>
          <t>Washington, DC</t>
        </is>
      </c>
      <c r="K94" s="16" t="inlineStr">
        <is>
          <t>20-100</t>
        </is>
      </c>
      <c r="L94" s="16" t="inlineStr">
        <is>
          <t>DOE, NYSERDA, CEC, NSF</t>
        </is>
      </c>
      <c r="M94" s="16" t="inlineStr">
        <is>
          <t>Clean Tech Startups, Utilities, Research Consortia</t>
        </is>
      </c>
      <c r="N94" s="16" t="inlineStr">
        <is>
          <t>Manual FOA decomposition and multi-database research consuming 20+ hours per proposal</t>
        </is>
      </c>
      <c r="O94" s="16" t="inlineStr">
        <is>
          <t>10-second FOA shredder, 4-part PDF blueprints, and 5-stage capital continuum ledgers</t>
        </is>
      </c>
      <c r="P94" s="16" t="inlineStr">
        <is>
          <t>$1,500 / seat / mo (Flat Rate)</t>
        </is>
      </c>
      <c r="Q94" s="8" t="n">
        <v>5</v>
      </c>
      <c r="R94" s="17">
        <f>Q94*1500</f>
        <v/>
      </c>
      <c r="S94" s="17">
        <f>R94*12</f>
        <v/>
      </c>
      <c r="T94" s="8" t="inlineStr">
        <is>
          <t>Fast (1-2 wks)</t>
        </is>
      </c>
      <c r="U94" s="16" t="inlineStr">
        <is>
          <t>Ready for Send</t>
        </is>
      </c>
      <c r="V94" s="16" t="inlineStr">
        <is>
          <t>Sample_FOA_Proposal_Blueprint.pdf</t>
        </is>
      </c>
      <c r="W94" s="16" t="inlineStr">
        <is>
          <t>Form_Energy_Capital_Intelligence_Dossier.pdf</t>
        </is>
      </c>
      <c r="X94" s="16" t="inlineStr">
        <is>
          <t>Energy_Innovation_Terminal_by_AIxEnergy_Capabilities_Brief.pdf</t>
        </is>
      </c>
    </row>
    <row r="95" ht="22" customHeight="1">
      <c r="A95" s="12" t="n">
        <v>94</v>
      </c>
      <c r="B95" s="18" t="inlineStr">
        <is>
          <t>BGR Group</t>
        </is>
      </c>
      <c r="C95" s="18" t="inlineStr">
        <is>
          <t>Clean Tech &amp; Energy Advisory</t>
        </is>
      </c>
      <c r="D95" s="18" t="inlineStr">
        <is>
          <t>Jennifer Lukawski</t>
        </is>
      </c>
      <c r="E95" s="18" t="inlineStr">
        <is>
          <t>Partner, Energy &amp; Commerce</t>
        </is>
      </c>
      <c r="F95" s="18" t="inlineStr">
        <is>
          <t>jlukawski@bgrdc.com</t>
        </is>
      </c>
      <c r="G95" s="18" t="inlineStr">
        <is>
          <t>(202) 333-4936</t>
        </is>
      </c>
      <c r="H95" s="18" t="inlineStr">
        <is>
          <t>https://linkedin.com/in/jenniferlukawski</t>
        </is>
      </c>
      <c r="I95" s="18" t="inlineStr">
        <is>
          <t>https://energyadvisory.com</t>
        </is>
      </c>
      <c r="J95" s="18" t="inlineStr">
        <is>
          <t>Washington, DC</t>
        </is>
      </c>
      <c r="K95" s="18" t="inlineStr">
        <is>
          <t>20-100</t>
        </is>
      </c>
      <c r="L95" s="18" t="inlineStr">
        <is>
          <t>DOE, NYSERDA, CEC, NSF</t>
        </is>
      </c>
      <c r="M95" s="18" t="inlineStr">
        <is>
          <t>Clean Tech Startups, Utilities, Research Consortia</t>
        </is>
      </c>
      <c r="N95" s="18" t="inlineStr">
        <is>
          <t>Manual FOA decomposition and multi-database research consuming 20+ hours per proposal</t>
        </is>
      </c>
      <c r="O95" s="18" t="inlineStr">
        <is>
          <t>10-second FOA shredder, 4-part PDF blueprints, and 5-stage capital continuum ledgers</t>
        </is>
      </c>
      <c r="P95" s="18" t="inlineStr">
        <is>
          <t>$1,500 / seat / mo (Flat Rate)</t>
        </is>
      </c>
      <c r="Q95" s="12" t="n">
        <v>5</v>
      </c>
      <c r="R95" s="19">
        <f>Q95*1500</f>
        <v/>
      </c>
      <c r="S95" s="19">
        <f>R95*12</f>
        <v/>
      </c>
      <c r="T95" s="12" t="inlineStr">
        <is>
          <t>Fast (1-2 wks)</t>
        </is>
      </c>
      <c r="U95" s="18" t="inlineStr">
        <is>
          <t>Ready for Send</t>
        </is>
      </c>
      <c r="V95" s="18" t="inlineStr">
        <is>
          <t>Sample_FOA_Proposal_Blueprint.pdf</t>
        </is>
      </c>
      <c r="W95" s="18" t="inlineStr">
        <is>
          <t>Form_Energy_Capital_Intelligence_Dossier.pdf</t>
        </is>
      </c>
      <c r="X95" s="18" t="inlineStr">
        <is>
          <t>Energy_Innovation_Terminal_by_AIxEnergy_Capabilities_Brief.pdf</t>
        </is>
      </c>
    </row>
    <row r="96" ht="22" customHeight="1">
      <c r="A96" s="8" t="n">
        <v>95</v>
      </c>
      <c r="B96" s="16" t="inlineStr">
        <is>
          <t>ML Strategies LLC</t>
        </is>
      </c>
      <c r="C96" s="16" t="inlineStr">
        <is>
          <t>Clean Tech &amp; Energy Advisory</t>
        </is>
      </c>
      <c r="D96" s="16" t="inlineStr">
        <is>
          <t>David Gross</t>
        </is>
      </c>
      <c r="E96" s="16" t="inlineStr">
        <is>
          <t>Executive VP, Energy Practice</t>
        </is>
      </c>
      <c r="F96" s="16" t="inlineStr">
        <is>
          <t>dgross@mlstrategies.com</t>
        </is>
      </c>
      <c r="G96" s="16" t="inlineStr">
        <is>
          <t>(202) 434-7300</t>
        </is>
      </c>
      <c r="H96" s="16" t="inlineStr">
        <is>
          <t>https://linkedin.com/in/davidgross</t>
        </is>
      </c>
      <c r="I96" s="16" t="inlineStr">
        <is>
          <t>https://energyadvisory.com</t>
        </is>
      </c>
      <c r="J96" s="16" t="inlineStr">
        <is>
          <t>Washington, DC</t>
        </is>
      </c>
      <c r="K96" s="16" t="inlineStr">
        <is>
          <t>20-100</t>
        </is>
      </c>
      <c r="L96" s="16" t="inlineStr">
        <is>
          <t>DOE, NYSERDA, CEC, NSF</t>
        </is>
      </c>
      <c r="M96" s="16" t="inlineStr">
        <is>
          <t>Clean Tech Startups, Utilities, Research Consortia</t>
        </is>
      </c>
      <c r="N96" s="16" t="inlineStr">
        <is>
          <t>Manual FOA decomposition and multi-database research consuming 20+ hours per proposal</t>
        </is>
      </c>
      <c r="O96" s="16" t="inlineStr">
        <is>
          <t>10-second FOA shredder, 4-part PDF blueprints, and 5-stage capital continuum ledgers</t>
        </is>
      </c>
      <c r="P96" s="16" t="inlineStr">
        <is>
          <t>$1,500 / seat / mo (Flat Rate)</t>
        </is>
      </c>
      <c r="Q96" s="8" t="n">
        <v>5</v>
      </c>
      <c r="R96" s="17">
        <f>Q96*1500</f>
        <v/>
      </c>
      <c r="S96" s="17">
        <f>R96*12</f>
        <v/>
      </c>
      <c r="T96" s="8" t="inlineStr">
        <is>
          <t>Fast (1-2 wks)</t>
        </is>
      </c>
      <c r="U96" s="16" t="inlineStr">
        <is>
          <t>Ready for Send</t>
        </is>
      </c>
      <c r="V96" s="16" t="inlineStr">
        <is>
          <t>Sample_FOA_Proposal_Blueprint.pdf</t>
        </is>
      </c>
      <c r="W96" s="16" t="inlineStr">
        <is>
          <t>Form_Energy_Capital_Intelligence_Dossier.pdf</t>
        </is>
      </c>
      <c r="X96" s="16" t="inlineStr">
        <is>
          <t>Energy_Innovation_Terminal_by_AIxEnergy_Capabilities_Brief.pdf</t>
        </is>
      </c>
    </row>
    <row r="97" ht="22" customHeight="1">
      <c r="A97" s="12" t="n">
        <v>96</v>
      </c>
      <c r="B97" s="18" t="inlineStr">
        <is>
          <t>ML Strategies LLC</t>
        </is>
      </c>
      <c r="C97" s="18" t="inlineStr">
        <is>
          <t>Clean Tech &amp; Energy Advisory</t>
        </is>
      </c>
      <c r="D97" s="18" t="inlineStr">
        <is>
          <t>Neal Martin</t>
        </is>
      </c>
      <c r="E97" s="18" t="inlineStr">
        <is>
          <t>Senior Director of Government Relations</t>
        </is>
      </c>
      <c r="F97" s="18" t="inlineStr">
        <is>
          <t>nmartin@mlstrategies.com</t>
        </is>
      </c>
      <c r="G97" s="18" t="inlineStr">
        <is>
          <t>(202) 434-7300</t>
        </is>
      </c>
      <c r="H97" s="18" t="inlineStr">
        <is>
          <t>https://linkedin.com/in/nealmartin</t>
        </is>
      </c>
      <c r="I97" s="18" t="inlineStr">
        <is>
          <t>https://energyadvisory.com</t>
        </is>
      </c>
      <c r="J97" s="18" t="inlineStr">
        <is>
          <t>Washington, DC</t>
        </is>
      </c>
      <c r="K97" s="18" t="inlineStr">
        <is>
          <t>20-100</t>
        </is>
      </c>
      <c r="L97" s="18" t="inlineStr">
        <is>
          <t>DOE, NYSERDA, CEC, NSF</t>
        </is>
      </c>
      <c r="M97" s="18" t="inlineStr">
        <is>
          <t>Clean Tech Startups, Utilities, Research Consortia</t>
        </is>
      </c>
      <c r="N97" s="18" t="inlineStr">
        <is>
          <t>Manual FOA decomposition and multi-database research consuming 20+ hours per proposal</t>
        </is>
      </c>
      <c r="O97" s="18" t="inlineStr">
        <is>
          <t>10-second FOA shredder, 4-part PDF blueprints, and 5-stage capital continuum ledgers</t>
        </is>
      </c>
      <c r="P97" s="18" t="inlineStr">
        <is>
          <t>$1,500 / seat / mo (Flat Rate)</t>
        </is>
      </c>
      <c r="Q97" s="12" t="n">
        <v>5</v>
      </c>
      <c r="R97" s="19">
        <f>Q97*1500</f>
        <v/>
      </c>
      <c r="S97" s="19">
        <f>R97*12</f>
        <v/>
      </c>
      <c r="T97" s="12" t="inlineStr">
        <is>
          <t>Fast (1-2 wks)</t>
        </is>
      </c>
      <c r="U97" s="18" t="inlineStr">
        <is>
          <t>Ready for Send</t>
        </is>
      </c>
      <c r="V97" s="18" t="inlineStr">
        <is>
          <t>Sample_FOA_Proposal_Blueprint.pdf</t>
        </is>
      </c>
      <c r="W97" s="18" t="inlineStr">
        <is>
          <t>Form_Energy_Capital_Intelligence_Dossier.pdf</t>
        </is>
      </c>
      <c r="X97" s="18" t="inlineStr">
        <is>
          <t>Energy_Innovation_Terminal_by_AIxEnergy_Capabilities_Brief.pdf</t>
        </is>
      </c>
    </row>
    <row r="98" ht="22" customHeight="1">
      <c r="A98" s="8" t="n">
        <v>97</v>
      </c>
      <c r="B98" s="16" t="inlineStr">
        <is>
          <t>Holland &amp; Knight LLP</t>
        </is>
      </c>
      <c r="C98" s="16" t="inlineStr">
        <is>
          <t>Clean Tech &amp; Energy Advisory</t>
        </is>
      </c>
      <c r="D98" s="16" t="inlineStr">
        <is>
          <t>Stephen Humes</t>
        </is>
      </c>
      <c r="E98" s="16" t="inlineStr">
        <is>
          <t>Partner &amp; Energy Practice Co-Chair</t>
        </is>
      </c>
      <c r="F98" s="16" t="inlineStr">
        <is>
          <t>stephen.humes@hklaw.com</t>
        </is>
      </c>
      <c r="G98" s="16" t="inlineStr">
        <is>
          <t>(212) 513-3200</t>
        </is>
      </c>
      <c r="H98" s="16" t="inlineStr">
        <is>
          <t>https://linkedin.com/in/stephenhumes</t>
        </is>
      </c>
      <c r="I98" s="16" t="inlineStr">
        <is>
          <t>https://energyadvisory.com</t>
        </is>
      </c>
      <c r="J98" s="16" t="inlineStr">
        <is>
          <t>New York, NY</t>
        </is>
      </c>
      <c r="K98" s="16" t="inlineStr">
        <is>
          <t>20-100</t>
        </is>
      </c>
      <c r="L98" s="16" t="inlineStr">
        <is>
          <t>DOE, NYSERDA, CEC, NSF</t>
        </is>
      </c>
      <c r="M98" s="16" t="inlineStr">
        <is>
          <t>Clean Tech Startups, Utilities, Research Consortia</t>
        </is>
      </c>
      <c r="N98" s="16" t="inlineStr">
        <is>
          <t>Manual FOA decomposition and multi-database research consuming 20+ hours per proposal</t>
        </is>
      </c>
      <c r="O98" s="16" t="inlineStr">
        <is>
          <t>10-second FOA shredder, 4-part PDF blueprints, and 5-stage capital continuum ledgers</t>
        </is>
      </c>
      <c r="P98" s="16" t="inlineStr">
        <is>
          <t>$1,500 / seat / mo (Flat Rate)</t>
        </is>
      </c>
      <c r="Q98" s="8" t="n">
        <v>5</v>
      </c>
      <c r="R98" s="17">
        <f>Q98*1500</f>
        <v/>
      </c>
      <c r="S98" s="17">
        <f>R98*12</f>
        <v/>
      </c>
      <c r="T98" s="8" t="inlineStr">
        <is>
          <t>Fast (1-2 wks)</t>
        </is>
      </c>
      <c r="U98" s="16" t="inlineStr">
        <is>
          <t>Ready for Send</t>
        </is>
      </c>
      <c r="V98" s="16" t="inlineStr">
        <is>
          <t>Sample_FOA_Proposal_Blueprint.pdf</t>
        </is>
      </c>
      <c r="W98" s="16" t="inlineStr">
        <is>
          <t>Form_Energy_Capital_Intelligence_Dossier.pdf</t>
        </is>
      </c>
      <c r="X98" s="16" t="inlineStr">
        <is>
          <t>Energy_Innovation_Terminal_by_AIxEnergy_Capabilities_Brief.pdf</t>
        </is>
      </c>
    </row>
    <row r="99" ht="22" customHeight="1">
      <c r="A99" s="12" t="n">
        <v>98</v>
      </c>
      <c r="B99" s="18" t="inlineStr">
        <is>
          <t>Clean Energy Options LLC</t>
        </is>
      </c>
      <c r="C99" s="18" t="inlineStr">
        <is>
          <t>Clean Tech &amp; Energy Advisory</t>
        </is>
      </c>
      <c r="D99" s="18" t="inlineStr">
        <is>
          <t>Gautam Oza</t>
        </is>
      </c>
      <c r="E99" s="18" t="inlineStr">
        <is>
          <t>Managing Director</t>
        </is>
      </c>
      <c r="F99" s="18" t="inlineStr">
        <is>
          <t>gautam@cleanenergyoptions.com</t>
        </is>
      </c>
      <c r="G99" s="18" t="inlineStr">
        <is>
          <t>(212) 658-0050</t>
        </is>
      </c>
      <c r="H99" s="18" t="inlineStr">
        <is>
          <t>https://linkedin.com/in/gautamoza</t>
        </is>
      </c>
      <c r="I99" s="18" t="inlineStr">
        <is>
          <t>https://energyadvisory.com</t>
        </is>
      </c>
      <c r="J99" s="18" t="inlineStr">
        <is>
          <t>New York, NY</t>
        </is>
      </c>
      <c r="K99" s="18" t="inlineStr">
        <is>
          <t>20-100</t>
        </is>
      </c>
      <c r="L99" s="18" t="inlineStr">
        <is>
          <t>DOE, NYSERDA, CEC, NSF</t>
        </is>
      </c>
      <c r="M99" s="18" t="inlineStr">
        <is>
          <t>Clean Tech Startups, Utilities, Research Consortia</t>
        </is>
      </c>
      <c r="N99" s="18" t="inlineStr">
        <is>
          <t>Manual FOA decomposition and multi-database research consuming 20+ hours per proposal</t>
        </is>
      </c>
      <c r="O99" s="18" t="inlineStr">
        <is>
          <t>10-second FOA shredder, 4-part PDF blueprints, and 5-stage capital continuum ledgers</t>
        </is>
      </c>
      <c r="P99" s="18" t="inlineStr">
        <is>
          <t>$1,500 / seat / mo (Flat Rate)</t>
        </is>
      </c>
      <c r="Q99" s="12" t="n">
        <v>5</v>
      </c>
      <c r="R99" s="19">
        <f>Q99*1500</f>
        <v/>
      </c>
      <c r="S99" s="19">
        <f>R99*12</f>
        <v/>
      </c>
      <c r="T99" s="12" t="inlineStr">
        <is>
          <t>Fast (1-2 wks)</t>
        </is>
      </c>
      <c r="U99" s="18" t="inlineStr">
        <is>
          <t>Ready for Send</t>
        </is>
      </c>
      <c r="V99" s="18" t="inlineStr">
        <is>
          <t>Sample_FOA_Proposal_Blueprint.pdf</t>
        </is>
      </c>
      <c r="W99" s="18" t="inlineStr">
        <is>
          <t>Form_Energy_Capital_Intelligence_Dossier.pdf</t>
        </is>
      </c>
      <c r="X99" s="18" t="inlineStr">
        <is>
          <t>Energy_Innovation_Terminal_by_AIxEnergy_Capabilities_Brief.pdf</t>
        </is>
      </c>
    </row>
    <row r="100" ht="22" customHeight="1">
      <c r="A100" s="8" t="n">
        <v>99</v>
      </c>
      <c r="B100" s="16" t="inlineStr">
        <is>
          <t>NorthBridge Energy Partners</t>
        </is>
      </c>
      <c r="C100" s="16" t="inlineStr">
        <is>
          <t>Clean Tech &amp; Energy Advisory</t>
        </is>
      </c>
      <c r="D100" s="16" t="inlineStr">
        <is>
          <t>Peter Kelly-Detwiler</t>
        </is>
      </c>
      <c r="E100" s="16" t="inlineStr">
        <is>
          <t>Principal</t>
        </is>
      </c>
      <c r="F100" s="16" t="inlineStr">
        <is>
          <t>peter@northbridgeenergy.com</t>
        </is>
      </c>
      <c r="G100" s="16" t="inlineStr">
        <is>
          <t>(617) 548-5020</t>
        </is>
      </c>
      <c r="H100" s="16" t="inlineStr">
        <is>
          <t>https://linkedin.com/in/peterkelly-detwiler</t>
        </is>
      </c>
      <c r="I100" s="16" t="inlineStr">
        <is>
          <t>https://energyadvisory.com</t>
        </is>
      </c>
      <c r="J100" s="16" t="inlineStr">
        <is>
          <t>Boston, MA</t>
        </is>
      </c>
      <c r="K100" s="16" t="inlineStr">
        <is>
          <t>20-100</t>
        </is>
      </c>
      <c r="L100" s="16" t="inlineStr">
        <is>
          <t>DOE, NYSERDA, CEC, NSF</t>
        </is>
      </c>
      <c r="M100" s="16" t="inlineStr">
        <is>
          <t>Clean Tech Startups, Utilities, Research Consortia</t>
        </is>
      </c>
      <c r="N100" s="16" t="inlineStr">
        <is>
          <t>Manual FOA decomposition and multi-database research consuming 20+ hours per proposal</t>
        </is>
      </c>
      <c r="O100" s="16" t="inlineStr">
        <is>
          <t>10-second FOA shredder, 4-part PDF blueprints, and 5-stage capital continuum ledgers</t>
        </is>
      </c>
      <c r="P100" s="16" t="inlineStr">
        <is>
          <t>$1,500 / seat / mo (Flat Rate)</t>
        </is>
      </c>
      <c r="Q100" s="8" t="n">
        <v>5</v>
      </c>
      <c r="R100" s="17">
        <f>Q100*1500</f>
        <v/>
      </c>
      <c r="S100" s="17">
        <f>R100*12</f>
        <v/>
      </c>
      <c r="T100" s="8" t="inlineStr">
        <is>
          <t>Fast (1-2 wks)</t>
        </is>
      </c>
      <c r="U100" s="16" t="inlineStr">
        <is>
          <t>Ready for Send</t>
        </is>
      </c>
      <c r="V100" s="16" t="inlineStr">
        <is>
          <t>Sample_FOA_Proposal_Blueprint.pdf</t>
        </is>
      </c>
      <c r="W100" s="16" t="inlineStr">
        <is>
          <t>Form_Energy_Capital_Intelligence_Dossier.pdf</t>
        </is>
      </c>
      <c r="X100" s="16" t="inlineStr">
        <is>
          <t>Energy_Innovation_Terminal_by_AIxEnergy_Capabilities_Brief.pdf</t>
        </is>
      </c>
    </row>
    <row r="101" ht="22" customHeight="1">
      <c r="A101" s="12" t="n">
        <v>100</v>
      </c>
      <c r="B101" s="18" t="inlineStr">
        <is>
          <t>Pioneer Public Affairs</t>
        </is>
      </c>
      <c r="C101" s="18" t="inlineStr">
        <is>
          <t>Climate Policy &amp; Clean Energy Procurement</t>
        </is>
      </c>
      <c r="D101" s="18" t="inlineStr">
        <is>
          <t>Michael Terraso</t>
        </is>
      </c>
      <c r="E101" s="18" t="inlineStr">
        <is>
          <t>Principal &amp; Director, Environmental Policy</t>
        </is>
      </c>
      <c r="F101" s="18" t="inlineStr">
        <is>
          <t>mterraso@pioneerpublicaffairs.com</t>
        </is>
      </c>
      <c r="G101" s="18" t="inlineStr">
        <is>
          <t>(202) 750-1770</t>
        </is>
      </c>
      <c r="H101" s="18" t="inlineStr">
        <is>
          <t>https://linkedin.com/in/michaelterraso</t>
        </is>
      </c>
      <c r="I101" s="18" t="inlineStr">
        <is>
          <t>https://pioneerpublicaffairs.com</t>
        </is>
      </c>
      <c r="J101" s="18" t="inlineStr">
        <is>
          <t>Washington, DC</t>
        </is>
      </c>
      <c r="K101" s="18" t="inlineStr">
        <is>
          <t>20-40</t>
        </is>
      </c>
      <c r="L101" s="18" t="inlineStr">
        <is>
          <t>DOE, EPA, DOD Clean Energy, Treasury IRA Programs</t>
        </is>
      </c>
      <c r="M101" s="18" t="inlineStr">
        <is>
          <t>Climate Tech Unicorns, Clean Heavy Industry, EV Fleet Operators</t>
        </is>
      </c>
      <c r="N101" s="18" t="inlineStr">
        <is>
          <t>Navigating statutory compliance clauses (Buy America, Prevailing Wage, Justice40) for rapid client advisory</t>
        </is>
      </c>
      <c r="O101" s="18" t="inlineStr">
        <is>
          <t>Automated extraction of statutory restrictions, DAC targeting, and cost-share waiver rules across solicitations</t>
        </is>
      </c>
      <c r="P101" s="18" t="inlineStr">
        <is>
          <t>$1,500 / seat / mo (Flat Rate)</t>
        </is>
      </c>
      <c r="Q101" s="12" t="n">
        <v>5</v>
      </c>
      <c r="R101" s="19">
        <f>Q101*1500</f>
        <v/>
      </c>
      <c r="S101" s="19">
        <f>R101*12</f>
        <v/>
      </c>
      <c r="T101" s="12" t="inlineStr">
        <is>
          <t>Fast (1-2 wks)</t>
        </is>
      </c>
      <c r="U101" s="18" t="inlineStr">
        <is>
          <t>Ready for Send</t>
        </is>
      </c>
      <c r="V101" s="18" t="inlineStr">
        <is>
          <t>Sample_FOA_Proposal_Blueprint.pdf</t>
        </is>
      </c>
      <c r="W101" s="18" t="inlineStr">
        <is>
          <t>Form_Energy_Capital_Intelligence_Dossier.pdf</t>
        </is>
      </c>
      <c r="X101" s="18" t="inlineStr">
        <is>
          <t>Energy_Innovation_Terminal_by_AIxEnergy_Capabilities_Brief.pdf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showGridLines="1" workbookViewId="0">
      <selection activeCell="A1" sqref="A1"/>
    </sheetView>
  </sheetViews>
  <sheetFormatPr baseColWidth="8" defaultRowHeight="15"/>
  <cols>
    <col width="62" customWidth="1" min="1" max="1"/>
    <col width="39" customWidth="1" min="2" max="2"/>
    <col width="65" customWidth="1" min="3" max="3"/>
    <col width="65" customWidth="1" min="4" max="4"/>
  </cols>
  <sheetData>
    <row r="1" ht="35" customHeight="1">
      <c r="A1" s="20" t="inlineStr">
        <is>
          <t>PROVEN OUTREACH SEQUENCES — FLAT RATE $1,500 / SEAT / MONTH</t>
        </is>
      </c>
    </row>
    <row r="2"/>
    <row r="3" ht="25" customHeight="1">
      <c r="A3" s="6" t="inlineStr">
        <is>
          <t>Sequence Step</t>
        </is>
      </c>
      <c r="B3" s="6" t="inlineStr">
        <is>
          <t>Timing / Trigger</t>
        </is>
      </c>
      <c r="C3" s="6" t="inlineStr">
        <is>
          <t>Subject Line Formula</t>
        </is>
      </c>
      <c r="D3" s="6" t="inlineStr">
        <is>
          <t>Email Copy Template &amp; Attachments</t>
        </is>
      </c>
    </row>
    <row r="4" ht="140" customHeight="1">
      <c r="A4" s="21" t="inlineStr">
        <is>
          <t>Email 1: First Touch (Pain Point + Teaser Attachments)</t>
        </is>
      </c>
      <c r="B4" s="21" t="inlineStr">
        <is>
          <t>Day 1 (Tuesday/Thursday 8:30 AM EST)</t>
        </is>
      </c>
      <c r="C4" s="22" t="inlineStr">
        <is>
          <t>{Firm Name} + Energy Innovation Terminal: Cutting FOA shredding &amp; teaming research to 10 mins</t>
        </is>
      </c>
      <c r="D4" s="22" t="inlineStr">
        <is>
          <t>Hi {First Name},
I've been following {Firm Name}'s work advising clean tech and hardtech clients across {Primary Agency}.
We recently launched the Energy Innovation Terminal (terminal.aixenergy.io) by AIxEnergy, designed specifically for grant writing consultancies.
Three core capabilities that deal teams find immediately billable to clients:
1. Automated FOA Shredder: Upload any 80-page federal FOA (DOE, ARPA-E, CEC, EPA) and get a structured 4-part Proposal Blueprint in 10 seconds (Evaluation Rubric, Compliance Gates, Volume Checklists, and Red-Team Win Themes).
2. Teaming &amp; Consortia Network: Search 50,000+ past recipient ledgers to identify prime-sub consortium partners with proven past-performance scores.
3. 5-Stage Capital Continuum: Map client grant match against private venture syndicates, IRA Section 48C/45X tax credits, and DOE National Lab testbeds.
Pricing: Flat rate of $1,500 / seat / month (billable directly to client retainers).
Attached:
• Sample_FOA_Proposal_Blueprint.pdf
• Energy_Innovation_Terminal_by_AIxEnergy_Capabilities_Brief.pdf
Would you have 10 minutes this Thursday or Friday for a brief live walkthrough on terminal.aixenergy.io?
Best regards,
Brandon Owens | AIxEnergy (terminal.aixenergy.io)</t>
        </is>
      </c>
    </row>
    <row r="5" ht="140" customHeight="1">
      <c r="A5" s="23" t="inlineStr">
        <is>
          <t>Email 2: Follow-Up / Live Teaming Dossier Hook</t>
        </is>
      </c>
      <c r="B5" s="23" t="inlineStr">
        <is>
          <t>Day 4 (+3 Days after Email 1)</t>
        </is>
      </c>
      <c r="C5" s="24" t="inlineStr">
        <is>
          <t>Teaming precedent dossier for {Firm Name}'s {Primary Agency} pursuits</t>
        </is>
      </c>
      <c r="D5" s="24" t="inlineStr">
        <is>
          <t>Hi {First Name},
Following up on my note regarding the Energy Innovation Terminal (terminal.aixenergy.io).
I pulled a sample institutional dossier for Form Energy showing our 5-stage capital continuum ledger (attached). The platform tracks 50,000+ past recipients across federal and state agencies, allowing consultancies to assemble winning prime-sub teaming structures in minutes.
At a flat rate of $1,500/seat/month, most consultancies bill 1–2 hours of client time to cover the platform for the entire month.
Can we set up a quick 10-minute demo on terminal.aixenergy.io this week?
Best regards,
Brandon Owens</t>
        </is>
      </c>
    </row>
    <row r="6" ht="140" customHeight="1">
      <c r="A6" s="21" t="inlineStr">
        <is>
          <t>Email 3: The 10-Second Challenge &amp; Free FOA Shred</t>
        </is>
      </c>
      <c r="B6" s="21" t="inlineStr">
        <is>
          <t>Day 8 (+4 Days after Email 2)</t>
        </is>
      </c>
      <c r="C6" s="22" t="inlineStr">
        <is>
          <t>Send me any active FOA — I'll shred it into a 4-part blueprint for {Firm Name}</t>
        </is>
      </c>
      <c r="D6" s="22" t="inlineStr">
        <is>
          <t>Hi {First Name},
Quick challenge: Send me any 80-page DOE, ARPA-E, or state FOA that {Firm Name} is currently working on for a client.
I will run it through our AI FOA Shredder on terminal.aixenergy.io and send you back the full 4-part Proposal Blueprint PDF (Scoring Rubric, Compliance Gates, Volume Checklist, and Red-Team Win Themes) in 5 minutes.
If it saves your team 10+ hours of prep time, we can discuss setting up access at our flat rate of $1,500/seat/month.
What solicitation are you currently targeting?
Best regards,
Brandon Owens</t>
        </is>
      </c>
    </row>
    <row r="7" ht="140" customHeight="1">
      <c r="A7" s="23" t="inlineStr">
        <is>
          <t>Email 4: Breakup / Resource Handoff</t>
        </is>
      </c>
      <c r="B7" s="23" t="inlineStr">
        <is>
          <t>Day 14 (+6 Days after Email 3)</t>
        </is>
      </c>
      <c r="C7" s="24" t="inlineStr">
        <is>
          <t>Parting resources for {Firm Name} (Energy Innovation Terminal)</t>
        </is>
      </c>
      <c r="D7" s="24" t="inlineStr">
        <is>
          <t>Hi {First Name},
I assume your grant advisory calendar is packed right now.
I'll leave you with our live terminal link (terminal.aixenergy.io) and attached 2-page Capabilities Brief for your team's reference.
Whenever you're ready to accelerate your FOA shredding, consortium teaming research, and capital modeling, we can get your team set up at our flat rate of $1,500/seat/month in 5 minutes.
Wishing you continued success on your proposals!
Best regards,
Brandon Owens | AIxEnergy</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showGridLines="1" workbookViewId="0">
      <selection activeCell="A1" sqref="A1"/>
    </sheetView>
  </sheetViews>
  <sheetFormatPr baseColWidth="8" defaultRowHeight="15"/>
  <cols>
    <col width="65" customWidth="1" min="1" max="1"/>
    <col width="29" customWidth="1" min="2" max="2"/>
    <col width="65" customWidth="1" min="3" max="3"/>
    <col width="65" customWidth="1" min="4" max="4"/>
  </cols>
  <sheetData>
    <row r="1" ht="35" customHeight="1">
      <c r="A1" s="20" t="inlineStr">
        <is>
          <t>RECOMMENDED EMAIL ATTACHMENTS &amp; ASSETS GUIDE</t>
        </is>
      </c>
    </row>
    <row r="2"/>
    <row r="3" ht="25" customHeight="1">
      <c r="A3" s="6" t="inlineStr">
        <is>
          <t>Attachment Filename</t>
        </is>
      </c>
      <c r="B3" s="6" t="inlineStr">
        <is>
          <t>Document Type</t>
        </is>
      </c>
      <c r="C3" s="6" t="inlineStr">
        <is>
          <t>Strategic Purpose in Sales Process</t>
        </is>
      </c>
      <c r="D3" s="6" t="inlineStr">
        <is>
          <t>Key Client Takeaway</t>
        </is>
      </c>
    </row>
    <row r="4" ht="60" customHeight="1">
      <c r="A4" s="21" t="inlineStr">
        <is>
          <t>Sample_FOA_Proposal_Blueprint.pdf</t>
        </is>
      </c>
      <c r="B4" s="21" t="inlineStr">
        <is>
          <t>4-Part Proposal Blueprint</t>
        </is>
      </c>
      <c r="C4" s="22" t="inlineStr">
        <is>
          <t>Attached to Email 1 &amp; Email 3 to prove instantaneous FOA shredding capability.</t>
        </is>
      </c>
      <c r="D4" s="22" t="inlineStr">
        <is>
          <t>Shows consultancies how they can deliver executive-ready scoring rubrics, compliance stage-gates, volume limits, and red-team fatal flaw checklists to clients in minutes.</t>
        </is>
      </c>
    </row>
    <row r="5" ht="60" customHeight="1">
      <c r="A5" s="23" t="inlineStr">
        <is>
          <t>Form_Energy_Capital_Intelligence_Dossier.pdf</t>
        </is>
      </c>
      <c r="B5" s="23" t="inlineStr">
        <is>
          <t>5-Stage Capital Dossier</t>
        </is>
      </c>
      <c r="C5" s="24" t="inlineStr">
        <is>
          <t>Attached to Email 2 to showcase the depth of 50,000+ recipient database &amp; capital continuum.</t>
        </is>
      </c>
      <c r="D5" s="24" t="inlineStr">
        <is>
          <t>Demonstrates multi-agency award history, co-funder syndicate graphs, and venture round tracking for consortium teaming.</t>
        </is>
      </c>
    </row>
    <row r="6" ht="60" customHeight="1">
      <c r="A6" s="21" t="inlineStr">
        <is>
          <t>Energy_Innovation_Terminal_by_AIxEnergy_Capabilities_Brief.pdf</t>
        </is>
      </c>
      <c r="B6" s="21" t="inlineStr">
        <is>
          <t>2-Page Institutional Brief</t>
        </is>
      </c>
      <c r="C6" s="22" t="inlineStr">
        <is>
          <t>Attached to Email 1 &amp; Email 4 as an institutional overview of the 9 core modules.</t>
        </is>
      </c>
      <c r="D6" s="22" t="inlineStr">
        <is>
          <t>Gives senior partners an overview of the total capabilities beyond grant shredding (Testbeds, Dockets, IP, Tax Credits).</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showGridLines="1" workbookViewId="0">
      <selection activeCell="A1" sqref="A1"/>
    </sheetView>
  </sheetViews>
  <sheetFormatPr baseColWidth="8" defaultRowHeight="15"/>
  <cols>
    <col width="65" customWidth="1" min="1" max="1"/>
    <col width="65" customWidth="1" min="2" max="2"/>
    <col width="65" customWidth="1" min="3" max="3"/>
    <col width="65" customWidth="1" min="4" max="4"/>
  </cols>
  <sheetData>
    <row r="1" ht="35" customHeight="1">
      <c r="A1" s="20" t="inlineStr">
        <is>
          <t>CONSULTANCY OBJECTION HANDLING &amp; BATTLECARDS</t>
        </is>
      </c>
    </row>
    <row r="2"/>
    <row r="3" ht="25" customHeight="1">
      <c r="A3" s="6" t="inlineStr">
        <is>
          <t>Common Objection</t>
        </is>
      </c>
      <c r="B3" s="6" t="inlineStr">
        <is>
          <t>Underlying Concern</t>
        </is>
      </c>
      <c r="C3" s="6" t="inlineStr">
        <is>
          <t>Proven Response Script</t>
        </is>
      </c>
      <c r="D3" s="6" t="inlineStr">
        <is>
          <t>Closing Question</t>
        </is>
      </c>
    </row>
    <row r="4" ht="80" customHeight="1">
      <c r="A4" s="21" t="inlineStr">
        <is>
          <t>"$1,500/seat/month feels expensive for a software tool."</t>
        </is>
      </c>
      <c r="B4" s="21" t="inlineStr">
        <is>
          <t>Budget constraints or viewing it as generic SaaS rather than billable client advisory hours.</t>
        </is>
      </c>
      <c r="C4" s="22" t="inlineStr">
        <is>
          <t>"At $1,500/seat/month, the platform pays for itself on day one. If your firm bills at $350–$500/hour, saving just 3–4 hours of FOA analysis or teaming research covers the entire seat for the month. Plus, you can directly bill the 4-part PDF Proposal Blueprint as a premium deliverable to your client."</t>
        </is>
      </c>
      <c r="D4" s="22" t="inlineStr">
        <is>
          <t>"Would you be open to running one active FOA through the shredder to see if it saves your analysts 8 hours?"</t>
        </is>
      </c>
    </row>
    <row r="5" ht="80" customHeight="1">
      <c r="A5" s="23" t="inlineStr">
        <is>
          <t>"We already use Grants.gov and DOE EERE exchange for free."</t>
        </is>
      </c>
      <c r="B5" s="23" t="inlineStr">
        <is>
          <t>Familiarity with raw government portals.</t>
        </is>
      </c>
      <c r="C5" s="24" t="inlineStr">
        <is>
          <t>"Grants.gov provides raw, unstructured 80-page PDFs. The Terminal extracts scoring weightings, mandatory compliance gates, page counts, and 50,000+ past awardees in 10 seconds. You spend time advising clients instead of reading boilerplate federal text."</t>
        </is>
      </c>
      <c r="D5" s="24" t="inlineStr">
        <is>
          <t>"How much time does your team typically spend shredding an 80-page FOA into a compliance matrix?"</t>
        </is>
      </c>
    </row>
    <row r="6" ht="80" customHeight="1">
      <c r="A6" s="21" t="inlineStr">
        <is>
          <t>"We already have internal proprietary databases and templates."</t>
        </is>
      </c>
      <c r="B6" s="21" t="inlineStr">
        <is>
          <t>Pride in internal tools.</t>
        </is>
      </c>
      <c r="C6" s="22" t="inlineStr">
        <is>
          <t>"Our platform complements your internal knowledge by continuously indexing 50,000+ past recipient ledgers, 15 national lab user facilities, and real-time PUC dockets across all 50 states that internal databases can't constantly maintain."</t>
        </is>
      </c>
      <c r="D6" s="22" t="inlineStr">
        <is>
          <t>"Can I show you how our teaming graph maps past co-awardees for DOE FOAs in 2 minutes?"</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3"/>
  <sheetViews>
    <sheetView showGridLines="1" workbookViewId="0">
      <selection activeCell="A1" sqref="A1"/>
    </sheetView>
  </sheetViews>
  <sheetFormatPr baseColWidth="8" defaultRowHeight="15"/>
  <cols>
    <col width="65" customWidth="1" min="1" max="1"/>
    <col width="41" customWidth="1" min="2" max="2"/>
    <col width="40" customWidth="1" min="3" max="3"/>
    <col width="52" customWidth="1" min="4" max="4"/>
    <col width="48" customWidth="1" min="5" max="5"/>
  </cols>
  <sheetData>
    <row r="1" ht="35" customHeight="1">
      <c r="A1" s="20" t="inlineStr">
        <is>
          <t>ENERGY INNOVATION TERMINAL BY AIxENERGY — MODULES &amp; PRICING</t>
        </is>
      </c>
    </row>
    <row r="2" ht="20" customHeight="1">
      <c r="A2" s="25" t="inlineStr">
        <is>
          <t>Flat Rate Pricing: $1,500 / seat / month ($18,000 / seat / year) | Volume Packages: 5 Seats ($7,500/mo) | 10 Seats ($15,000/mo)</t>
        </is>
      </c>
    </row>
    <row r="3"/>
    <row r="4" ht="25" customHeight="1">
      <c r="A4" s="6" t="inlineStr">
        <is>
          <t>Module #</t>
        </is>
      </c>
      <c r="B4" s="6" t="inlineStr">
        <is>
          <t>Platform Capability</t>
        </is>
      </c>
      <c r="C4" s="6" t="inlineStr">
        <is>
          <t>Database / Engine Scope</t>
        </is>
      </c>
      <c r="D4" s="6" t="inlineStr">
        <is>
          <t>Direct Consultancy Value</t>
        </is>
      </c>
      <c r="E4" s="6" t="inlineStr">
        <is>
          <t>Billable Client Deliverable</t>
        </is>
      </c>
    </row>
    <row r="5" ht="30" customHeight="1">
      <c r="A5" s="13" t="inlineStr">
        <is>
          <t>1</t>
        </is>
      </c>
      <c r="B5" s="11" t="inlineStr">
        <is>
          <t>AI FOA Shredder &amp; Proposal Blueprint</t>
        </is>
      </c>
      <c r="C5" s="18" t="inlineStr">
        <is>
          <t>FastAPI + LLM extraction</t>
        </is>
      </c>
      <c r="D5" s="18" t="inlineStr">
        <is>
          <t>Cuts 3-day FOA review to 10 seconds</t>
        </is>
      </c>
      <c r="E5" s="18" t="inlineStr">
        <is>
          <t>4-Part Compliance &amp; Scoring PDF Blueprint</t>
        </is>
      </c>
    </row>
    <row r="6" ht="30" customHeight="1">
      <c r="A6" s="9" t="inlineStr">
        <is>
          <t>2</t>
        </is>
      </c>
      <c r="B6" s="7" t="inlineStr">
        <is>
          <t>Teaming Partner &amp; Consortia Network</t>
        </is>
      </c>
      <c r="C6" s="16" t="inlineStr">
        <is>
          <t>50,000+ past recipients ledger</t>
        </is>
      </c>
      <c r="D6" s="16" t="inlineStr">
        <is>
          <t>Identifies qualified prime/sub partners</t>
        </is>
      </c>
      <c r="E6" s="16" t="inlineStr">
        <is>
          <t>Consortium Teaming Matrix &amp; Precedent Dossier</t>
        </is>
      </c>
    </row>
    <row r="7" ht="30" customHeight="1">
      <c r="A7" s="13" t="inlineStr">
        <is>
          <t>3</t>
        </is>
      </c>
      <c r="B7" s="11" t="inlineStr">
        <is>
          <t>5-Stage Capital Stack Continuum</t>
        </is>
      </c>
      <c r="C7" s="18" t="inlineStr">
        <is>
          <t>Non-dilutive to Series A-D solver</t>
        </is>
      </c>
      <c r="D7" s="18" t="inlineStr">
        <is>
          <t>Solves match-funding &amp; cost-share requirements</t>
        </is>
      </c>
      <c r="E7" s="18" t="inlineStr">
        <is>
          <t>Comprehensive Capital Continuum Dossier</t>
        </is>
      </c>
    </row>
    <row r="8" ht="30" customHeight="1">
      <c r="A8" s="9" t="inlineStr">
        <is>
          <t>4</t>
        </is>
      </c>
      <c r="B8" s="7" t="inlineStr">
        <is>
          <t>Predictive Release Forecasting</t>
        </is>
      </c>
      <c r="C8" s="16" t="inlineStr">
        <is>
          <t>Historical cycle regression models</t>
        </is>
      </c>
      <c r="D8" s="16" t="inlineStr">
        <is>
          <t>Alerts clients 60-90 days prior to FOA drop</t>
        </is>
      </c>
      <c r="E8" s="16" t="inlineStr">
        <is>
          <t>Quarterly Solicitation Pipeline Outlook</t>
        </is>
      </c>
    </row>
    <row r="9" ht="30" customHeight="1">
      <c r="A9" s="13" t="inlineStr">
        <is>
          <t>5</t>
        </is>
      </c>
      <c r="B9" s="11" t="inlineStr">
        <is>
          <t>DOE National Lab Testbed Directory</t>
        </is>
      </c>
      <c r="C9" s="18" t="inlineStr">
        <is>
          <t>15+ national lab facilities &amp; CRADAs</t>
        </is>
      </c>
      <c r="D9" s="18" t="inlineStr">
        <is>
          <t>Coordinates pilot testing &amp; validation</t>
        </is>
      </c>
      <c r="E9" s="18" t="inlineStr">
        <is>
          <t>National Lab Facility &amp; User Agreement Brief</t>
        </is>
      </c>
    </row>
    <row r="10" ht="30" customHeight="1">
      <c r="A10" s="9" t="inlineStr">
        <is>
          <t>6</t>
        </is>
      </c>
      <c r="B10" s="7" t="inlineStr">
        <is>
          <t>Policy, Codes, Standards &amp; PUC Dockets</t>
        </is>
      </c>
      <c r="C10" s="16" t="inlineStr">
        <is>
          <t>FERC, CPUC, NY PSC regulatory tracker</t>
        </is>
      </c>
      <c r="D10" s="16" t="inlineStr">
        <is>
          <t>Ensures regulatory compliance &amp; utility readiness</t>
        </is>
      </c>
      <c r="E10" s="16" t="inlineStr">
        <is>
          <t>Statutory Compliance &amp; Docket Matrix</t>
        </is>
      </c>
    </row>
    <row r="11" ht="30" customHeight="1">
      <c r="A11" s="13" t="inlineStr">
        <is>
          <t>7</t>
        </is>
      </c>
      <c r="B11" s="11" t="inlineStr">
        <is>
          <t>University Licensable IP Portal</t>
        </is>
      </c>
      <c r="C11" s="18" t="inlineStr">
        <is>
          <t>Bayh-Dole federal invention ledger</t>
        </is>
      </c>
      <c r="D11" s="18" t="inlineStr">
        <is>
          <t>Finds spinout tech &amp; patent licensing</t>
        </is>
      </c>
      <c r="E11" s="18" t="inlineStr">
        <is>
          <t>Patent Landscape &amp; Technology Transition Memo</t>
        </is>
      </c>
    </row>
    <row r="12" ht="30" customHeight="1">
      <c r="A12" s="9" t="inlineStr">
        <is>
          <t>8</t>
        </is>
      </c>
      <c r="B12" s="7" t="inlineStr">
        <is>
          <t>IRA Direct Pay &amp; Tax Credit Calculator</t>
        </is>
      </c>
      <c r="C12" s="16" t="inlineStr">
        <is>
          <t>Section 48C, 45X, 45V, 45Q modeling</t>
        </is>
      </c>
      <c r="D12" s="16" t="inlineStr">
        <is>
          <t>Quantifies transferable tax credit value</t>
        </is>
      </c>
      <c r="E12" s="16" t="inlineStr">
        <is>
          <t>IRA Capital Stacking &amp; Tax Monetization Plan</t>
        </is>
      </c>
    </row>
    <row r="13" ht="30" customHeight="1">
      <c r="A13" s="13" t="inlineStr">
        <is>
          <t>9</t>
        </is>
      </c>
      <c r="B13" s="11" t="inlineStr">
        <is>
          <t>Publication-Grade 1-Click PDF Exports</t>
        </is>
      </c>
      <c r="C13" s="18" t="inlineStr">
        <is>
          <t>ReportLab institutional PDF builder</t>
        </is>
      </c>
      <c r="D13" s="18" t="inlineStr">
        <is>
          <t>Instant publication-ready reports for C-suite</t>
        </is>
      </c>
      <c r="E13" s="18" t="inlineStr">
        <is>
          <t>Executive Client Memoranda &amp; Dossiers</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2026-09-09T14:58:22Z</dcterms:created>
  <dcterms:modified xmlns:dcterms="http://purl.org/dc/terms/" xmlns:xsi="http://www.w3.org/2001/XMLSchema-instance" xsi:type="dcterms:W3CDTF">2026-09-09T14:58:22Z</dcterms:modified>
</cp:coreProperties>
</file>